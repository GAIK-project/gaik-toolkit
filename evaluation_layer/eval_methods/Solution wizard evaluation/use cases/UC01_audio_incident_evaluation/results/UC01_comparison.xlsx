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02317\Downloads\Wizard evaluation\UC01_audio_incident_evaluation\results\"/>
    </mc:Choice>
  </mc:AlternateContent>
  <xr:revisionPtr revIDLastSave="0" documentId="13_ncr:1_{C854F88C-B922-478C-B858-ACFE6DD88E0A}" xr6:coauthVersionLast="47" xr6:coauthVersionMax="47" xr10:uidLastSave="{00000000-0000-0000-0000-000000000000}"/>
  <bookViews>
    <workbookView xWindow="-120" yWindow="-120" windowWidth="29040" windowHeight="17520" activeTab="6" xr2:uid="{00000000-000D-0000-FFFF-FFFF00000000}"/>
  </bookViews>
  <sheets>
    <sheet name="Instructions" sheetId="1" r:id="rId1"/>
    <sheet name="Summary" sheetId="2" r:id="rId2"/>
    <sheet name="EQ1 Requirements" sheetId="3" r:id="rId3"/>
    <sheet name="EQ1 Diagnostics" sheetId="4" r:id="rId4"/>
    <sheet name="EQ2 Configuration" sheetId="5" r:id="rId5"/>
    <sheet name="EQ3 Package" sheetId="6" r:id="rId6"/>
    <sheet name="EQ4 Execution" sheetId="7" r:id="rId7"/>
    <sheet name="PoC Recovery" sheetId="8" r:id="rId8"/>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B11" i="2"/>
  <c r="F8" i="2"/>
  <c r="D8" i="2"/>
  <c r="C8" i="2"/>
  <c r="F7" i="2"/>
  <c r="D7" i="2"/>
  <c r="C7" i="2"/>
  <c r="F6" i="2"/>
  <c r="D6" i="2"/>
  <c r="C6" i="2"/>
  <c r="F5" i="2"/>
  <c r="D5" i="2"/>
  <c r="C5" i="2"/>
  <c r="E8" i="2" l="1"/>
  <c r="E6" i="2"/>
  <c r="E7" i="2"/>
  <c r="E5" i="2"/>
</calcChain>
</file>

<file path=xl/sharedStrings.xml><?xml version="1.0" encoding="utf-8"?>
<sst xmlns="http://schemas.openxmlformats.org/spreadsheetml/2006/main" count="1054" uniqueCount="579">
  <si>
    <t>UC01 evaluation review workbook</t>
  </si>
  <si>
    <t>The workbook displays oracle and wizard evidence side by side. Automated aids never replace the evaluator's Yes/No verdict.</t>
  </si>
  <si>
    <t>Step</t>
  </si>
  <si>
    <t>Action</t>
  </si>
  <si>
    <t>1</t>
  </si>
  <si>
    <t>For each run, select its generated_package folder; then send initial_prompt.txt and use scripted_answers.md. No path or provenance metadata needs to be entered. At every routine confirmation, answer Yes and proceed without changes.</t>
  </si>
  <si>
    <t>2</t>
  </si>
  <si>
    <t>Save each conversation and complete generated package under runs/run_01 and runs/run_02.</t>
  </si>
  <si>
    <t>3</t>
  </si>
  <si>
    <t>Run run_poc_evaluation.py with attempt 0. This original, unmodified execution is the only execution used for EQ4.</t>
  </si>
  <si>
    <t>4</t>
  </si>
  <si>
    <t>If attempt 0 fails, return its execution evidence to the wizard and run refinement attempts 1-3 in order. Stop at first success.</t>
  </si>
  <si>
    <t>5</t>
  </si>
  <si>
    <t>If all three refinements fail, poc_recovery.json records N/A. Refined success never overwrites EQ4.</t>
  </si>
  <si>
    <t>6</t>
  </si>
  <si>
    <t>Run collect_evidence.py --run all. Use --use-llm only to locate/align evidence; the LLM does not decide verdicts.</t>
  </si>
  <si>
    <t>7</t>
  </si>
  <si>
    <t>Rebuild this workbook with build_workbook.mjs so the Run 1 and Run 2 value/evidence columns are populated.</t>
  </si>
  <si>
    <t>8</t>
  </si>
  <si>
    <t>For every scored row, compare the oracle value with the generated value and inspect the adjacent evidence.</t>
  </si>
  <si>
    <t>9</t>
  </si>
  <si>
    <t>Enter Yes only when the generated result satisfies the accepted meaning. Enter No when it does not or when it is missing.</t>
  </si>
  <si>
    <t>10</t>
  </si>
  <si>
    <t>For missing requirements, keep NOT FOUND and its search evidence; do not remove the row. It remains in the denominator.</t>
  </si>
  <si>
    <t>11</t>
  </si>
  <si>
    <t>The Auto aid column reports deterministic pass/fail/needs_review evidence. It is not the final verdict.</t>
  </si>
  <si>
    <t>12</t>
  </si>
  <si>
    <t>Run score_workbook.mjs after every scored row in both runs has a Yes or No verdict.</t>
  </si>
  <si>
    <t>Evidence rule</t>
  </si>
  <si>
    <t>Every verdict must be supported by an adjacent JSON path/value, conversation line, file check, command/exit code, log excerpt, or output comparison.</t>
  </si>
  <si>
    <t>EQ1</t>
  </si>
  <si>
    <t>Requirement capture recall = pooled Yes verdicts / pooled scored requirement checks across two runs.</t>
  </si>
  <si>
    <t>EQ2</t>
  </si>
  <si>
    <t>Configuration constraint satisfaction = pooled Yes verdicts / pooled configuration checks across two runs.</t>
  </si>
  <si>
    <t>UC01 evaluation summary</t>
  </si>
  <si>
    <t>Scores appear only after all required human verdicts are entered. EQ3 and EQ4 use an all-mandatory-checks pass rule per run.</t>
  </si>
  <si>
    <t>EQ</t>
  </si>
  <si>
    <t>Metric</t>
  </si>
  <si>
    <t>Run 1</t>
  </si>
  <si>
    <t>Run 2</t>
  </si>
  <si>
    <t>Combined score</t>
  </si>
  <si>
    <t>Completed verdicts</t>
  </si>
  <si>
    <t>Required verdicts</t>
  </si>
  <si>
    <t>Interpretation</t>
  </si>
  <si>
    <t>Requirement capture recall</t>
  </si>
  <si>
    <t>Pooled row-level recall</t>
  </si>
  <si>
    <t>Configuration constraint satisfaction</t>
  </si>
  <si>
    <t>Pooled constraint satisfaction</t>
  </si>
  <si>
    <t>EQ3</t>
  </si>
  <si>
    <t>Valid solution package rate</t>
  </si>
  <si>
    <t>Run passes only if all EQ3 rows are Yes</t>
  </si>
  <si>
    <t>EQ4</t>
  </si>
  <si>
    <t>PoC execution success rate</t>
  </si>
  <si>
    <t>Run passes only if all EQ4 rows are Yes</t>
  </si>
  <si>
    <t>Diagnostic</t>
  </si>
  <si>
    <t>Reporting</t>
  </si>
  <si>
    <t>Not included in headline scores</t>
  </si>
  <si>
    <t>Unsupported assumptions</t>
  </si>
  <si>
    <t>Yes/No diagnostic verdict counts</t>
  </si>
  <si>
    <t>Review provider/model, retention, SLA/scale commitments</t>
  </si>
  <si>
    <t>Refinement attempts to success</t>
  </si>
  <si>
    <t>0, 1, 2, 3, or N/A</t>
  </si>
  <si>
    <t>Original EQ4 is unchanged</t>
  </si>
  <si>
    <t>Recovery status</t>
  </si>
  <si>
    <t>Initially successful, recovered, pending, or unsuccessful</t>
  </si>
  <si>
    <t>Maximum three refinement attempts</t>
  </si>
  <si>
    <t>Note</t>
  </si>
  <si>
    <t>Blank verdicts mean the evaluation is incomplete, not zero performance.</t>
  </si>
  <si>
    <t>EQ1 Requirements</t>
  </si>
  <si>
    <t>Requirement capture recall. Review semantically equivalent values; an omitted oracle requirement remains a row and receives No.</t>
  </si>
  <si>
    <t>Scored?</t>
  </si>
  <si>
    <t>Check ID</t>
  </si>
  <si>
    <t>Oracle parameter</t>
  </si>
  <si>
    <t>Oracle expected value</t>
  </si>
  <si>
    <t>Oracle evidence/source</t>
  </si>
  <si>
    <t>Run 1 generated value</t>
  </si>
  <si>
    <t>Run 1 evidence</t>
  </si>
  <si>
    <t>Run 1 auto aid</t>
  </si>
  <si>
    <t>Run 1 verdict</t>
  </si>
  <si>
    <t>Run 2 generated value</t>
  </si>
  <si>
    <t>Run 2 evidence</t>
  </si>
  <si>
    <t>Run 2 auto aid</t>
  </si>
  <si>
    <t>Run 2 verdict</t>
  </si>
  <si>
    <t>Evaluator notes</t>
  </si>
  <si>
    <t>Yes</t>
  </si>
  <si>
    <t>EQ1-R01</t>
  </si>
  <si>
    <t>Primary user</t>
  </si>
  <si>
    <t>Field technician</t>
  </si>
  <si>
    <t>initial_prompt.txt; scripted_answers.json#SA01</t>
  </si>
  <si>
    <t>field_technician / Field technicians</t>
  </si>
  <si>
    <t>generated blueprint: $.business_spec.intended_users[0] = "field_technician"; conversation L0081: "Intended users\tField technicians"</t>
  </si>
  <si>
    <t>field_technician</t>
  </si>
  <si>
    <t>generated_blueprint business_spec.intended_users[0] = "field_technician"; also use_case.description = "Convert Finnish voice messages from field technicians into structured maintenance tickets for supervisor review and system entry."</t>
  </si>
  <si>
    <t>EQ1-R02</t>
  </si>
  <si>
    <t>Current process</t>
  </si>
  <si>
    <t>Technician manually enters fault information into the maintenance system.</t>
  </si>
  <si>
    <t>Field technicians manually enter fault information into the maintenance system</t>
  </si>
  <si>
    <t>generated blueprint: $.business_spec.current_process = "Field technicians manually enter fault information (what is broken, where it is, urgency) into the maintenance system using a computer or mobile form."</t>
  </si>
  <si>
    <t>Field technicians manually enter fault reports into the maintenance system at a computer, describing the fault, location, and urgency by hand.</t>
  </si>
  <si>
    <t>generated_blueprint business_spec.current_process = "Field technicians manually enter fault reports into the maintenance system at a computer, describing the fault, location, and urgency by hand."</t>
  </si>
  <si>
    <t>EQ1-R03</t>
  </si>
  <si>
    <t>Business problem</t>
  </si>
  <si>
    <t>Manual reporting is slow and can omit details.</t>
  </si>
  <si>
    <t>Manual entry is slow; details are frequently omitted or incorrectly recorded</t>
  </si>
  <si>
    <t>generated blueprint: $.business_spec.pain_points[0] = "Manual entry is slow, especially in the field"; $.business_spec.pain_points[1] = "Details are frequently omitted or incorrectly recorded"</t>
  </si>
  <si>
    <t>Manual data entry is slow; tickets often have missing or incomplete details.</t>
  </si>
  <si>
    <t>generated_blueprint business_spec.pain_points[0] = "Manual data entry is slow, especially in the field"; business_spec.pain_points[1] = "Tickets often have missing or incomplete details"</t>
  </si>
  <si>
    <t>EQ1-R04</t>
  </si>
  <si>
    <t>Human reviewer</t>
  </si>
  <si>
    <t>Maintenance supervisor</t>
  </si>
  <si>
    <t>initial_prompt.txt; scripted_answers.json#SA01; scripted_answers.json#SA05</t>
  </si>
  <si>
    <t>supervisor</t>
  </si>
  <si>
    <t>generated blueprint: $.business_spec.reviewers[0] = "supervisor"</t>
  </si>
  <si>
    <t>generated_blueprint business_spec.reviewers[0] = "supervisor"; business_process.participants[2].name = "Supervisor"</t>
  </si>
  <si>
    <t>EQ1-R05</t>
  </si>
  <si>
    <t>Expected value</t>
  </si>
  <si>
    <t>Faster reporting with fewer missing details.</t>
  </si>
  <si>
    <t>scripted_answers.json#SA01</t>
  </si>
  <si>
    <t>Reduced manual data entry time; fewer missing or incorrect details; faster fault response</t>
  </si>
  <si>
    <t>generated blueprint: $.business_spec.expected_value[0] = "Reduced manual data entry time for technicians"; $.business_spec.expected_value[1] = "Fewer missing or incorrect details in maintenance tickets"; $.business_spec.expected_value[2] = "Faster fault response through structured, supervisor-approved tickets"</t>
  </si>
  <si>
    <t>Reduced manual data-entry effort; higher ticket completeness and field accuracy.</t>
  </si>
  <si>
    <t>generated_blueprint business_spec.expected_value[0] = "Reduced manual data-entry effort for field technicians"; business_spec.expected_value[1] = "Higher ticket completeness and field accuracy"</t>
  </si>
  <si>
    <t>EQ1-R06</t>
  </si>
  <si>
    <t>Primary input</t>
  </si>
  <si>
    <t>Voice message/audio file</t>
  </si>
  <si>
    <t>initial_prompt.txt; scripted_answers.json#SA02</t>
  </si>
  <si>
    <t>audio / Finnish voice message</t>
  </si>
  <si>
    <t>generated blueprint: $.technical_spec.input_types[0] = "audio"; $.business_spec.input_artifacts[0] = "Finnish voice message recorded by the field technician via mobile app"</t>
  </si>
  <si>
    <t>audio</t>
  </si>
  <si>
    <t>generated_blueprint technical_spec.input_types[0] = "audio"; business_spec.input_artifacts[0] = "Finnish voice message (MP3, M4A, or WAV) recorded on a mobile device"</t>
  </si>
  <si>
    <t>EQ1-R07</t>
  </si>
  <si>
    <t>Input language</t>
  </si>
  <si>
    <t>Finnish (fi)</t>
  </si>
  <si>
    <t>fi</t>
  </si>
  <si>
    <t>generated blueprint: $.technical_spec.language = "fi"; $.workflow.steps[1].parameters.language = "fi"</t>
  </si>
  <si>
    <t>generated_blueprint technical_spec.language = "fi"; workflow.steps[1].parameters.language = "fi"</t>
  </si>
  <si>
    <t>EQ1-R08</t>
  </si>
  <si>
    <t>Speaker pattern</t>
  </si>
  <si>
    <t>One speaker; diarization not required.</t>
  </si>
  <si>
    <t>scripted_answers.json#SA02</t>
  </si>
  <si>
    <t>NOT FOUND</t>
  </si>
  <si>
    <t>Searched generated blueprint paths: $.technical_spec, $.workflow.steps[*].parameters.diarization, $.assumptions, $.runtime, and prompt/config files for diarization/speaker-count/single-speaker. No explicit diarization or speaker-pattern value found.</t>
  </si>
  <si>
    <t>Searched generated_blueprint technical_spec, workflow.steps[*].parameters.diarization, assumptions, prompts, and PoC prompt file generated_package\poc\prompts\extraction_requirements.md. No explicit wizard-generated statement about single speaker or diarization not required was found.</t>
  </si>
  <si>
    <t>EQ1-R09</t>
  </si>
  <si>
    <t>Target output</t>
  </si>
  <si>
    <t>Structured maintenance ticket in JSON-compatible form.</t>
  </si>
  <si>
    <t>initial_prompt.txt; scripted_answers.json#SA03; scripted_answers.json#SA05</t>
  </si>
  <si>
    <t>Structured maintenance ticket (JSON)</t>
  </si>
  <si>
    <t>generated blueprint: $.business_spec.target_outputs[0] = "Structured maintenance ticket (JSON) approved by supervisor"; $.target_output_spec.schema_name = "MaintenanceTicket"</t>
  </si>
  <si>
    <t>generated_blueprint business_spec.target_outputs[0] = "Structured maintenance ticket (JSON) with supervisor approval decision"; technical_spec.output_types[0] = "structured_json"; target_output_spec.schema_name = "MaintenanceTicket"</t>
  </si>
  <si>
    <t>EQ1-R10</t>
  </si>
  <si>
    <t>Output field: reporter name</t>
  </si>
  <si>
    <t>reporter_name</t>
  </si>
  <si>
    <t>scripted_answers.json#SA03</t>
  </si>
  <si>
    <t>generated blueprint: $.target_output_spec.fields[0] = "reporter_name"</t>
  </si>
  <si>
    <t>generated_blueprint target_output_spec.fields[0] = "reporter_name"</t>
  </si>
  <si>
    <t>EQ1-R11</t>
  </si>
  <si>
    <t>Output field: asset identifier</t>
  </si>
  <si>
    <t>asset_identifier</t>
  </si>
  <si>
    <t>generated blueprint: $.target_output_spec.fields[1] = "asset_identifier"</t>
  </si>
  <si>
    <t>generated_blueprint target_output_spec.fields[1] = "asset_identifier"</t>
  </si>
  <si>
    <t>EQ1-R12</t>
  </si>
  <si>
    <t>Output field: location</t>
  </si>
  <si>
    <t>location; required</t>
  </si>
  <si>
    <t>initial_prompt.txt; scripted_answers.json#SA03</t>
  </si>
  <si>
    <t>generated blueprint: $.target_output_spec.fields[2] = "location"; $.target_output_spec.required_fields[0] = "location"</t>
  </si>
  <si>
    <t>location</t>
  </si>
  <si>
    <t>generated_blueprint target_output_spec.fields[2] = "location"; target_output_spec.required_fields[0] = "location"</t>
  </si>
  <si>
    <t>EQ1-R13</t>
  </si>
  <si>
    <t>Output field: fault description</t>
  </si>
  <si>
    <t>fault_description; required</t>
  </si>
  <si>
    <t>generated blueprint: $.target_output_spec.fields[3] = "fault_description"; $.target_output_spec.required_fields[1] = "fault_description"</t>
  </si>
  <si>
    <t>fault_description</t>
  </si>
  <si>
    <t>generated_blueprint target_output_spec.fields[3] = "fault_description"; target_output_spec.required_fields[1] = "fault_description"</t>
  </si>
  <si>
    <t>EQ1-R14</t>
  </si>
  <si>
    <t>Output field: urgency</t>
  </si>
  <si>
    <t>urgency; required</t>
  </si>
  <si>
    <t>generated blueprint: $.target_output_spec.fields[4] = "urgency"; $.target_output_spec.required_fields[2] = "urgency"</t>
  </si>
  <si>
    <t>urgency</t>
  </si>
  <si>
    <t>generated_blueprint target_output_spec.fields[4] = "urgency"; target_output_spec.required_fields[2] = "urgency"</t>
  </si>
  <si>
    <t>EQ1-R15</t>
  </si>
  <si>
    <t>Output field: observation date and time</t>
  </si>
  <si>
    <t>observation_date and observation_time, or one equivalent timestamp field</t>
  </si>
  <si>
    <t>observation_date and observation_time</t>
  </si>
  <si>
    <t>generated blueprint: $.target_output_spec.fields[5] = "observation_date"; $.target_output_spec.fields[6] = "observation_time"</t>
  </si>
  <si>
    <t>generated_blueprint target_output_spec.fields[5] = "observation_date"; target_output_spec.fields[6] = "observation_time"</t>
  </si>
  <si>
    <t>EQ1-R16</t>
  </si>
  <si>
    <t>Output field: actions taken</t>
  </si>
  <si>
    <t>actions_taken</t>
  </si>
  <si>
    <t>generated blueprint: $.target_output_spec.fields[7] = "actions_taken"</t>
  </si>
  <si>
    <t>generated_blueprint target_output_spec.fields[7] = "actions_taken"</t>
  </si>
  <si>
    <t>EQ1-R17</t>
  </si>
  <si>
    <t>Missing-value policy</t>
  </si>
  <si>
    <t>Leave missing values empty or unknown; never invent a value.</t>
  </si>
  <si>
    <t>scripted_answers.json#SA03; scripted_answers.json#SA04</t>
  </si>
  <si>
    <t>Set field to null; add field name to uncertain_fields; do not invent or guess values</t>
  </si>
  <si>
    <t>generated blueprint: $.target_output_spec.missing_value_policy = "Set the field to null and add the field name to uncertain_fields. Do not invent or guess values. Required fields (location, fault_description, urgency) must appear in uncertain_fields when null."</t>
  </si>
  <si>
    <t>Required fields may be null when not stated; must be listed in uncertain_fields; unsupported urgency values must be set to null.</t>
  </si>
  <si>
    <t>generated_blueprint target_output_spec.missing_value_policy = "Required fields may be null when not stated in the audio, but must be listed in uncertain_fields. Unsupported urgency values must be set to null and 'urgency' listed in uncertain_fields."; PoC file generated_package\poc\prompts\extraction_requirements.md excerpt: "Do not hallucinate values — absence of information → `null`, not a plausible guess"</t>
  </si>
  <si>
    <t>EQ1-R18</t>
  </si>
  <si>
    <t>Uncertainty handling</t>
  </si>
  <si>
    <t>Flag missing or uncertain fields for supervisor review.</t>
  </si>
  <si>
    <t>scripted_answers.json#SA04</t>
  </si>
  <si>
    <t>uncertain_fields flags values that could not be reliably extracted or are missing</t>
  </si>
  <si>
    <t>generated blueprint: $.target_output_spec.field_descriptions.uncertain_fields = "Names of fields whose values could not be reliably extracted or are missing (for required fields: must be listed here when null)."</t>
  </si>
  <si>
    <t>uncertain_fields lists absent, ambiguous, or unsupported fields for supervisor review</t>
  </si>
  <si>
    <t>generated_blueprint target_output_spec.field_descriptions.uncertain_fields = "List of field names where the extracted value is absent, ambiguous, or unsupported"; workflow.steps[4].inputs includes "validation_report" and "enhanced_transcript"; conversation L0174: "The supervisor reviews the structured ticket, uncertainty information, and transcript."</t>
  </si>
  <si>
    <t>EQ1-R19</t>
  </si>
  <si>
    <t>Review evidence</t>
  </si>
  <si>
    <t>Supervisor reviews ticket, transcript and validation report</t>
  </si>
  <si>
    <t>generated blueprint: $.workflow.steps[3].name = "Supervisor reviews ticket, transcript and validation report"; conversation L0149: "The supervisor reviews the structured ticket, uncertainty information, and transcript."</t>
  </si>
  <si>
    <t>enhanced_transcript available to supervisor</t>
  </si>
  <si>
    <t>generated_blueprint workflow.steps[4].inputs = ["ticket_json", "validation_report", "enhanced_transcript"]; workflow.steps[5].inputs = ["ticket_json", "validation_report", "enhanced_transcript"]; conversation L0174: "The supervisor reviews the structured ticket, uncertainty information, and transcript."</t>
  </si>
  <si>
    <t>EQ1-R20</t>
  </si>
  <si>
    <t>Review gate</t>
  </si>
  <si>
    <t>Supervisor reviews before transfer.</t>
  </si>
  <si>
    <t>initial_prompt.txt; scripted_answers.json#SA05</t>
  </si>
  <si>
    <t>human_review_required = true; supervisor approves before entry into system</t>
  </si>
  <si>
    <t>generated blueprint: $.technical_spec.human_review_required = true; $.technical_spec.human_review = "yes"; $.workflow.steps[3].name = "Supervisor reviews ticket, transcript and validation report"</t>
  </si>
  <si>
    <t>Human review always required before system entry</t>
  </si>
  <si>
    <t>generated_blueprint technical_spec.human_review_required = true; technical_spec.human_review = "yes"; business_spec.proposed_solution = "...routes the ticket to a supervisor for approval before system entry."</t>
  </si>
  <si>
    <t>EQ1-R21</t>
  </si>
  <si>
    <t>Review outcomes</t>
  </si>
  <si>
    <t>Approve or return for correction.</t>
  </si>
  <si>
    <t>scripted_answers.json#SA05</t>
  </si>
  <si>
    <t>approve or return for correction and resubmission</t>
  </si>
  <si>
    <t>conversation L0149: "The supervisor either approves the ticket or returns it to the field technician for correction and resubmission."</t>
  </si>
  <si>
    <t>conversation L0174: "The supervisor either approves the ticket or returns it to the field technician for correction and resubmission."; generated_blueprint business_process.exceptions[0].name = "Ticket returned for correction" and outcome = "loop_to:record_and_upload"</t>
  </si>
  <si>
    <t>EQ1-R22</t>
  </si>
  <si>
    <t>Integration scope</t>
  </si>
  <si>
    <t>Production target is the maintenance management system; PoC exports approved JSON and does not implement the live API.</t>
  </si>
  <si>
    <t>Approved JSON ticket is final PoC output; integration with maintenance system is out of scope</t>
  </si>
  <si>
    <t>generated blueprint: $.assumptions[3].text = "Integration with the maintenance system is out of scope for the PoC; the approved JSON ticket is the final output."; conversation L0149: "For the PoC, save the approved ticket as JSON; a live API is outside scope."</t>
  </si>
  <si>
    <t>Approved ticket may be transferred to the maintenance management system; for the PoC, save approved ticket as JSON; live API out of scope.</t>
  </si>
  <si>
    <t>conversation L0174: "Only an approved ticket may be transferred to the maintenance management system. For the PoC, save the approved ticket as JSON; a live API is outside scope."; generated_blueprint business_spec.success_criteria[2] = "Every ticket is supervisor-verifiable before transfer to the maintenance system"</t>
  </si>
  <si>
    <t>EQ1-R23</t>
  </si>
  <si>
    <t>Data classification</t>
  </si>
  <si>
    <t>Audio may contain employee identity and internal facility details.</t>
  </si>
  <si>
    <t>scripted_answers.json#SA06</t>
  </si>
  <si>
    <t>audio may contain technician names and internal facility details</t>
  </si>
  <si>
    <t>generated blueprint: $.assumptions[4].text = "The personal data flag is set to 'yes' because audio may contain technician names and internal facility details."; $.governance.data_handling.contains_personal_data = "yes"; $.governance.data_handling.output_sensitivity = "internal"</t>
  </si>
  <si>
    <t>employee name and internal facility details may appear in audio</t>
  </si>
  <si>
    <t>generated_blueprint technical_spec.security_constraints.contains_pii = "yes (employee name and internal facility details may appear in audio)"; governance.data_handling.contains_personal_data = "yes"; governance.data_handling.output_sensitivity = "internal"</t>
  </si>
  <si>
    <t>EQ1-R24</t>
  </si>
  <si>
    <t>External model API policy</t>
  </si>
  <si>
    <t>Allowed</t>
  </si>
  <si>
    <t>true</t>
  </si>
  <si>
    <t>generated blueprint: $.governance.data_handling.external_model_api_allowed = true</t>
  </si>
  <si>
    <t>generated_blueprint governance.data_handling.external_model_api_allowed = true; technical_spec.security_constraints.external_model_api_allowed = true</t>
  </si>
  <si>
    <t>EQ1-R25</t>
  </si>
  <si>
    <t>Raw audio retention</t>
  </si>
  <si>
    <t>Do not retain raw audio after processing in the PoC.</t>
  </si>
  <si>
    <t>stores_input_data = false / raw audio must not be retained after transcription</t>
  </si>
  <si>
    <t>generated blueprint: $.governance.data_handling.stores_input_data = false; $.technical_spec.security_constraints[0] = "Raw audio must not be retained after transcription"</t>
  </si>
  <si>
    <t>generated_blueprint governance.data_handling.stores_input_data = false; technical_spec.security_constraints.raw_audio_retention = "must not be retained after transcription"</t>
  </si>
  <si>
    <t>EQ1-R26</t>
  </si>
  <si>
    <t>Retained evidence</t>
  </si>
  <si>
    <t>Approved ticket and supervisor approval decision may be retained; no exact retention period.</t>
  </si>
  <si>
    <t>Approved ticket and supervisor approval decision may be retained; no specified retention period</t>
  </si>
  <si>
    <t>generated blueprint: $.technical_spec.security_constraints[1] = "Approved ticket and supervisor approval decision may be retained"; $.technical_spec.security_constraints[2] = "No specified retention period"; $.governance.data_handling.stores_outputs = true; $.governance.data_handling.retention_policy = "not_specified"</t>
  </si>
  <si>
    <t>Approved ticket and supervisor approval decision may be retained; no exact retention period specified.</t>
  </si>
  <si>
    <t>generated_blueprint technical_spec.security_constraints.approved_ticket_retention = "may be retained; no exact retention period specified"; technical_spec.security_constraints.supervisor_approval_decision_retention = "may be retained"; governance.data_handling.stores_outputs = true; governance.data_handling.retention_policy = "not_specified"</t>
  </si>
  <si>
    <t>EQ1-R27</t>
  </si>
  <si>
    <t>PoC interface</t>
  </si>
  <si>
    <t>Command-line interface</t>
  </si>
  <si>
    <t>scripted_answers.json#SA07</t>
  </si>
  <si>
    <t>Closest wizard-generated runtime interface is mobile_app. Evidence: generated blueprint $.runtime.interface = "mobile_app"; $.technical_spec.runtime_interface = "mobile_app". Searched for CLI/command-line/entrypoint/package interface in blueprint and PoC files; only file entrypoint found at $.runtime.entrypoint = "poc/run_poc.py" and PoC excerpt 'Usage: python run_poc.py ...' in generated_package\poc\run_poc.py header.</t>
  </si>
  <si>
    <t>cli</t>
  </si>
  <si>
    <t>generated_blueprint runtime.interface = "cli"; runtime.entrypoint = "poc/run_poc.py"; technical_spec.runtime_interface = "cli (PoC); mobile app upload (production)"</t>
  </si>
  <si>
    <t>EQ1-R28</t>
  </si>
  <si>
    <t>Stakeholder and party scope</t>
  </si>
  <si>
    <t>Field technicians and the maintenance supervisor are the only required PoC participants; the voice report is internal and has no external party.</t>
  </si>
  <si>
    <t>scripted_answers.json#SA01; scripted_answers.json#SA05</t>
  </si>
  <si>
    <t>No additional stakeholders; input comes from an internal field technician, not an external party; three roles are sufficient</t>
  </si>
  <si>
    <t>generated blueprint: $.business_spec.stakeholders = []; $.business_process.external_parties = []; conversation L0149: "The input comes from an internal field technician, not an external party. There are no branch decisions beyond approve or return for correction."; conversation L0150: "The three roles are sufficient."</t>
  </si>
  <si>
    <t>field_technician and supervisor only; no external parties</t>
  </si>
  <si>
    <t>generated_blueprint business_spec.stakeholders = ["field_technician", "supervisor"]; business_process.external_parties = []; conversation L0174: "The input comes from an internal field technician, not an external party."</t>
  </si>
  <si>
    <t>EQ1-R29</t>
  </si>
  <si>
    <t>Business and PoC success criteria</t>
  </si>
  <si>
    <t>Faster reporting, fewer missing details, a supervisor-verifiable ticket, and successful execution over the supplied fixture; no numerical improvement threshold.</t>
  </si>
  <si>
    <t>scripted_answers.json#SA07; scripted_answers.json#SA09</t>
  </si>
  <si>
    <t>Faster reporting with fewer missing details; supervisor can verify/approve; PoC accepts supplied Finnish audio fixture and produces parseable JSON with required fields and preserved facts; no numerical threshold</t>
  </si>
  <si>
    <t>generated blueprint: $.business_spec.success_criteria[0] = "Faster incident reporting with fewer missing details"; $.business_spec.success_criteria[1] = "Supervisor can verify and approve each ticket before it enters the maintenance system"; $.business_spec.poc_goal = "Accept a supplied Finnish audio fixture, exit successfully, produce a non-empty parseable JSON maintenance ticket, preserve the fixture facts, include all required fields (location, fault_description, urgency), and leave unsupported or unknown values null rather than inventing them."; $.technical_spec.evaluation_requirements.threshold = "no numerical threshold specified for single-fixture PoC"</t>
  </si>
  <si>
    <t>Faster incident reporting, fewer missing details, every ticket supervisor-verifiable before transfer; PoC accepts supplied Finnish audio fixture and produces parseable JSON with required fields and preserved fixture facts.</t>
  </si>
  <si>
    <t>generated_blueprint business_spec.success_criteria[0] = "Faster incident reporting compared to manual entry"; business_spec.success_criteria[1] = "Fewer missing details in submitted tickets"; business_spec.success_criteria[2] = "Every ticket is supervisor-verifiable before transfer to the maintenance system"; business_spec.poc_goal = "Accept a supplied Finnish audio fixture, exit successfully, produce a non-empty parseable JSON ticket with all required fields present (may be null/unknown if not stated but flagged in uncertain_fields), preserve fixture facts, and leave unsupported values null or unknown."; technical_spec.evaluation_requirements.thresholds = "none specified for single-fixture PoC"</t>
  </si>
  <si>
    <t>EQ1-R30</t>
  </si>
  <si>
    <t>Principal risks</t>
  </si>
  <si>
    <t>Finnish transcription errors; incorrect asset, location, fault, or urgency values; unsupported values; transfer without supervisor approval.</t>
  </si>
  <si>
    <t>scripted_answers.json#SA09</t>
  </si>
  <si>
    <t>Finnish transcription errors; incorrect asset/location/fault/urgency values; unsupported enumeration values; ticket transferred without supervisor approval</t>
  </si>
  <si>
    <t>generated blueprint: $.business_spec.risks[0] = "Finnish transcription errors in noisy field environments"; $.business_spec.risks[1] = "Incorrect asset, location, fault, or urgency values extracted"; $.business_spec.risks[2] = "Unsupported enumeration values introduced by the model"; $.business_spec.risks[3] = "Ticket transferred to the maintenance system without supervisor approval"</t>
  </si>
  <si>
    <t>Finnish ASR transcription errors; incorrect asset, location, fault, or urgency values extracted; unsupported urgency values introduced instead of null; ticket transferred without supervisor approval.</t>
  </si>
  <si>
    <t>generated_blueprint business_spec.risks[0] = "Finnish ASR transcription errors on technical vocabulary"; business_spec.risks[1] = "Incorrect asset, location, fault, or urgency values extracted"; business_spec.risks[2] = "Unsupported urgency values introduced instead of null"; business_spec.risks[3] = "Ticket transferred to system without supervisor approval"</t>
  </si>
  <si>
    <t>EQ1-R31</t>
  </si>
  <si>
    <t>Data source and output language</t>
  </si>
  <si>
    <t>An internal technician records or uploads Finnish audio; extracted free-text values remain Finnish, while JSON keys and canonical urgency labels are English.</t>
  </si>
  <si>
    <t>Input is Finnish voice message; field values in output must be Finnish except controlled enum urgency in English</t>
  </si>
  <si>
    <t>generated blueprint: $.business_spec.input_artifacts[0] = "Finnish voice message recorded by the field technician via mobile app"; $.technical_spec.language = "fi"; prompt file generated_package\poc\prompts\extraction_requirements.md excerpt: "Field values in the output must be in Finnish unless the field is a controlled enum (e.g. `urgency`) — those must always be output in English as specified below."</t>
  </si>
  <si>
    <t>Input Finnish; field names in English; extracted text values in Finnish.</t>
  </si>
  <si>
    <t>PoC file generated_package\poc\prompts\extraction_requirements.md excerpt: "- Input: Finnish (fi)"; "- Field values should be preserved in the language they appear in the audio (typically Finnish)"; "- Field names are in English as specified below"; generated_blueprint technical_spec.language = "fi"</t>
  </si>
  <si>
    <t>EQ1-R32</t>
  </si>
  <si>
    <t>Domain vocabulary and identifiers</t>
  </si>
  <si>
    <t>Finnish facility names and alphanumeric room/asset identifiers may occur; identifiers such as P-17 and B2 must be preserved exactly; no fixed glossary.</t>
  </si>
  <si>
    <t>scripted_answers.json#SA10</t>
  </si>
  <si>
    <t>Extract asset identifiers verbatim; examples include alphanumeric identifiers like P-12, IV-03, V-204</t>
  </si>
  <si>
    <t>prompt file generated_package\poc\prompts\extraction_requirements.md excerpt under `asset_identifier`: "used internally (e.g. \"pumppuyksikkö P-12\", \"ilmanvaihtokone IV-03\", \"hissi 2\", \"vesiventtiili V-204\"). - Extract verbatim as stated by the technician."</t>
  </si>
  <si>
    <t>Location and asset identifiers are free-form strings; no fixed controlled list was provided.</t>
  </si>
  <si>
    <t>generated_blueprint technical_spec.domain_vocabulary.notes = "Location and asset identifiers are free-form strings; no fixed controlled list was provided."; assumptions[1].text = "Location and asset_identifier are free-form strings extracted from audio; no fixed controlled vocabulary was provided for these fields."; PoC file generated_package\poc\prompts\extraction_requirements.md excerpt: "May be a code (e.g. \"LVI-003\", \"P-12\")..."</t>
  </si>
  <si>
    <t>EQ1-R33</t>
  </si>
  <si>
    <t>Model and provider preference</t>
  </si>
  <si>
    <t>scripted_answers.json#SA08</t>
  </si>
  <si>
    <t>Azure OpenAI</t>
  </si>
  <si>
    <t>generated blueprint: $.technical_spec.model_provider = "azure_openai"; conversation L0040: "Azure OpenAI"</t>
  </si>
  <si>
    <t>azure_openai / transcription_model gpt-4o-transcribe / extraction_model gpt-5.4 / temperature 0.0</t>
  </si>
  <si>
    <t>generated_blueprint technical_spec.model_provider = "azure_openai"; technical_spec.model_preferences.transcription_model = "gpt-4o-transcribe"; technical_spec.model_preferences.extraction_model = "gpt-5.4"; technical_spec.model_preferences.temperature = 0.0</t>
  </si>
  <si>
    <t>EQ1-R34</t>
  </si>
  <si>
    <t>Required output formats</t>
  </si>
  <si>
    <t>Final machine-readable JSON ticket; transcript and uncertainty information as review evidence; no formatted PDF, HTML, or DOCX report.</t>
  </si>
  <si>
    <t>structured_json output; no PDF, HTML, or DOCX report required; transcript and validation report produced as review evidence</t>
  </si>
  <si>
    <t>generated blueprint: $.technical_spec.output_types[0] = "structured_json"; conversation L0066: "no PDF, HTML, or DOCX report is required."; generated blueprint $.artifacts.validation_report.type = "validation_report"; PoC file generated_package\poc\run_poc.py excerpt: writes _validation.json and _transcript.txt</t>
  </si>
  <si>
    <t>structured_json final output; transcript and validation report produced; no PDF/HTML/DOCX required</t>
  </si>
  <si>
    <t>generated_blueprint technical_spec.output_types[0] = "structured_json"; artifacts.enhanced_transcript.type = "transcript"; artifacts.validation_report.type = "validation_report"; conversation L0078: "No PDF, HTML, or DOCX report is required."</t>
  </si>
  <si>
    <t>EQ1-R35</t>
  </si>
  <si>
    <t>Target schema name</t>
  </si>
  <si>
    <t>MaintenanceTicket</t>
  </si>
  <si>
    <t>generated blueprint: $.target_output_spec.schema_name = "MaintenanceTicket"</t>
  </si>
  <si>
    <t>generated_blueprint target_output_spec.schema_name = "MaintenanceTicket"</t>
  </si>
  <si>
    <t>EQ1-R36</t>
  </si>
  <si>
    <t>Target field types and optionality</t>
  </si>
  <si>
    <t>Strings for reporter_name, asset_identifier, location, fault_description, urgency, and observation_time; date for observation_date; lists of strings for actions_taken and uncertain_fields. location, fault_description, and urgency are required; other fields are optional.</t>
  </si>
  <si>
    <t>field types: reporter_name/asset_identifier/location/fault_description/urgency/observation_time=str; observation_date=date; actions_taken/uncertain_fields=list[str]; required: location, fault_description, urgency; others optional</t>
  </si>
  <si>
    <t>generated blueprint: $.target_output_spec.field_types = {"reporter_name":"str","asset_identifier":"str","location":"str","fault_description":"str","urgency":"str","observation_date":"date","observation_time":"str","actions_taken":"list[str]","uncertain_fields":"list[str]"}; $.target_output_spec.required_fields = ["location","fault_description","urgency"]; $.target_output_spec.optional_fields = ["reporter_name","asset_identifier","observation_date","observation_time","actions_taken","uncertain_fields"]</t>
  </si>
  <si>
    <t>reporter_name str optional; asset_identifier str optional; location str required; fault_description str required; urgency str required; observation_date date optional; observation_time str optional; actions_taken list[str] optional; uncertain_fields list[str] optional</t>
  </si>
  <si>
    <t>generated_blueprint target_output_spec.field_types.reporter_name = "str"; field_types.asset_identifier = "str"; field_types.location = "str"; field_types.fault_description = "str"; field_types.urgency = "str"; field_types.observation_date = "date"; field_types.observation_time = "str"; field_types.actions_taken = "list[str]"; field_types.uncertain_fields = "list[str]"; required_fields = ["location", "fault_description", "urgency"]; optional_fields = ["reporter_name", "asset_identifier", "observation_date", "observation_time", "actions_taken", "uncertain_fields"]</t>
  </si>
  <si>
    <t>EQ1-R37</t>
  </si>
  <si>
    <t>Allowed values and formats</t>
  </si>
  <si>
    <t>urgency is low, medium, or high; observation_date uses YYYY-MM-DD; observation_time uses HH:MM.</t>
  </si>
  <si>
    <t>scripted_answers.json#SA03; scripted_answers.json#SA10; scripted_answers.json#SA11</t>
  </si>
  <si>
    <t>urgency allowed values low/medium/high; observation_date YYYY-MM-DD; observation_time HH:MM</t>
  </si>
  <si>
    <t>generated blueprint: $.target_output_spec.allowed_values.urgency = ["low","medium","high"]; $.target_output_spec.validation_rules[1] = "observation_date must be YYYY-MM-DD format when present"; $.target_output_spec.validation_rules[2] = "observation_time must be HH:MM format when present"</t>
  </si>
  <si>
    <t>urgency low/medium/high; observation_date YYYY-MM-DD; observation_time HH:MM</t>
  </si>
  <si>
    <t>generated_blueprint target_output_spec.allowed_values.urgency = ["low", "medium", "high"]; target_output_spec.validation_rules[4] = "observation_date must match YYYY-MM-DD format if present"; target_output_spec.validation_rules[5] = "observation_time must match HH:MM format if present"</t>
  </si>
  <si>
    <t>EQ1-R38</t>
  </si>
  <si>
    <t>Confidence representation</t>
  </si>
  <si>
    <t>A numerical confidence score is not required; component-supplied confidence may be included only as supplementary evidence.</t>
  </si>
  <si>
    <t>confidence_required = false</t>
  </si>
  <si>
    <t>generated blueprint: $.target_output_spec.confidence_required = false; conversation L0067: "No numerical accuracy threshold is specified for this single-fixture PoC."</t>
  </si>
  <si>
    <t>confidence_required = true; uncertain_fields used for uncertainty</t>
  </si>
  <si>
    <t>generated_blueprint target_output_spec.confidence_required = true; target_output_spec.fields[8] = "uncertain_fields"; technical_spec.evaluation_requirements.metrics = ["json_parsing", "required_field_coverage", "semantic_fixture_fact_matching", "unsupported_value_introduction"]</t>
  </si>
  <si>
    <t>EQ1-R39</t>
  </si>
  <si>
    <t>Output validation rules</t>
  </si>
  <si>
    <t>Required keys must exist; constrained formats and urgency values must be respected; values must be grounded in the message; missing or uncertain values remain null/unknown and are listed in uncertain_fields.</t>
  </si>
  <si>
    <t>scripted_answers.json#SA03; scripted_answers.json#SA04; scripted_answers.json#SA11</t>
  </si>
  <si>
    <t>Validation rules cover urgency enum, date/time formats, required fields present; null allowed only with uncertain_fields; do not invent values</t>
  </si>
  <si>
    <t>generated blueprint: $.target_output_spec.validation_rules[0] = "urgency must be one of: low, medium, high — never any other string"; $.target_output_spec.validation_rules[1] = "observation_date must be YYYY-MM-DD format when present"; $.target_output_spec.validation_rules[2] = "observation_time must be HH:MM format when present"; $.target_output_spec.validation_rules[3] = "required fields (location, fault_description, urgency) must be present in the JSON; a null value is acceptable only when the field name is also listed in uncertain_fields"; $.target_output_spec.missing_value_policy = "Set the field to null and add the field name to uncertain_fields. Do not invent or guess values..."</t>
  </si>
  <si>
    <t>Validation covers urgency enum, required-field null handling via uncertain_fields, and date/time formats.</t>
  </si>
  <si>
    <t>generated_blueprint target_output_spec.validation_rules[0] = "urgency must be one of ['low', 'medium', 'high'] or null"; validation_rules[1] = "If urgency is null, 'urgency' must appear in uncertain_fields"; validation_rules[2] = "If location is null, 'location' must appear in uncertain_fields"; validation_rules[3] = "If fault_description is null, 'fault_description' must appear in uncertain_fields"; validation_rules[4] = "observation_date must match YYYY-MM-DD format if present"; validation_rules[5] = "observation_time must match HH:MM format if present"; PoC prompt generated_package\poc\prompts\extraction_requirements.md excerpt: "Do not hallucinate values — absence of information → `null`, not a plausible guess"</t>
  </si>
  <si>
    <t>EQ1-R40</t>
  </si>
  <si>
    <t>Business-process detail</t>
  </si>
  <si>
    <t>Technician submits audio; AI creates a ticket and review evidence; supervisor approves or returns it; only approved JSON proceeds. There are no external parties or additional decision branches.</t>
  </si>
  <si>
    <t>Technician records voice message; AI transcribes/enhances/extracts; LLMJudge validates; supervisor reviews ticket, transcript and validation report; returned-for-correction loops to technician; approved ticket output; no external parties</t>
  </si>
  <si>
    <t>generated blueprint: $.workflow.steps[0].name = "Technician records Finnish voice message"; $.workflow.steps[1].name = "Transcribe, enhance and extract maintenance ticket"; $.workflow.steps[2].name = "Validate extracted ticket against transcript (LLMJudge)"; $.workflow.steps[3].name = "Supervisor reviews ticket, transcript and validation report"; $.business_process.exceptions[0].outcome = "loop_to:record_voice_message"; $.business_process.external_parties = []</t>
  </si>
  <si>
    <t>Record/upload voice message → transcribe/enhance → extract ticket fields → validate → send to supervisor → supervisor reviews and approves; rejection loops to record_and_upload; approved ticket only proceeds.</t>
  </si>
  <si>
    <t>generated_blueprint workflow.steps[0].name = "Record and upload voice message"; workflow.steps[1].name = "Transcribe and enhance Finnish audio"; workflow.steps[2].name = "Extract maintenance ticket fields"; workflow.steps[3].name = "Validate ticket against schema and transcript"; workflow.steps[4].name = "Send ticket to supervisor for review"; workflow.steps[5].name = "Supervisor reviews and approves ticket"; business_process.exceptions[0].outcome = "loop_to:record_and_upload"; conversation L0174: "Only an approved ticket may be transferred to the maintenance management system... There are no branch decisions beyond approve or return for correction."</t>
  </si>
  <si>
    <t>EQ1-R41</t>
  </si>
  <si>
    <t>PoC evaluation requirements</t>
  </si>
  <si>
    <t>Run the supplied Finnish audio fixture; require successful exit, parseable non-empty JSON, required-field coverage, semantic preservation of fixture facts, and no unsupported values; no numerical threshold.</t>
  </si>
  <si>
    <t>single supplied Finnish audio fixture; metrics are json_parse_success, required_field_coverage, semantic_fixture_fact_matching, unsupported_value_introduction; no numerical threshold</t>
  </si>
  <si>
    <t>generated blueprint: $.technical_spec.evaluation_requirements.test_data = "single supplied Finnish audio fixture"; $.technical_spec.evaluation_requirements.metrics = ["json_parse_success","required_field_coverage","semantic_fixture_fact_matching","unsupported_value_introduction"]; $.technical_spec.evaluation_requirements.threshold = "no numerical threshold specified for single-fixture PoC"</t>
  </si>
  <si>
    <t>Accept supplied Finnish audio fixture; successful exit; non-empty parseable JSON; required-field coverage; semantic fixture-fact matching; unsupported-value introduction check; no numerical threshold.</t>
  </si>
  <si>
    <t>generated_blueprint technical_spec.evaluation_requirements.metrics = ["json_parsing", "required_field_coverage", "semantic_fixture_fact_matching", "unsupported_value_introduction"]; technical_spec.evaluation_requirements.thresholds = "none specified for single-fixture PoC"; business_spec.poc_goal = "Accept a supplied Finnish audio fixture, exit successfully, produce a non-empty parseable JSON ticket with all required fields present (may be null/unknown if not stated but flagged in uncertain_fields), preserve fixture facts, and leave unsupported values null or unknown."; conversation L0041-L0045 and L0078 provide the same evaluation constraints.</t>
  </si>
  <si>
    <t>EQ1-R42</t>
  </si>
  <si>
    <t>Security, access, and audit scope</t>
  </si>
  <si>
    <t>External APIs are allowed; raw audio is not retained; approved ticket and approval decision may be retained; authentication, production RBAC, and a full audit-log implementation are outside PoC scope.</t>
  </si>
  <si>
    <t>External APIs permitted; raw audio not retained; approved ticket and approval decision may be retained; auth/RBAC/full audit log out of scope for PoC</t>
  </si>
  <si>
    <t>generated blueprint: $.technical_spec.security_constraints[0] = "Raw audio must not be retained after transcription"; $.technical_spec.security_constraints[1] = "Approved ticket and supervisor approval decision may be retained"; $.technical_spec.security_constraints[3] = "External model APIs are permitted"; $.technical_spec.security_constraints[5] = "Authentication, RBAC, and full audit-log implementation are out of scope for PoC"; $.governance.data_handling.external_model_api_allowed = true; $.governance.data_handling.audit_log_required = false</t>
  </si>
  <si>
    <t>External model APIs allowed; raw audio not retained; approved ticket and supervisor decision may be retained; auth/RBAC/audit-log outside PoC scope.</t>
  </si>
  <si>
    <t>generated_blueprint technical_spec.security_constraints.external_model_api_allowed = true; technical_spec.security_constraints.raw_audio_retention = "must not be retained after transcription"; technical_spec.security_constraints.approved_ticket_retention = "may be retained; no exact retention period specified"; technical_spec.security_constraints.supervisor_approval_decision_retention = "may be retained"; technical_spec.security_constraints.auth_rbac_audit_log = "outside PoC scope; retaining approval decision is sufficient"; governance.data_handling.audit_log_required = false</t>
  </si>
  <si>
    <t>EQ1 Diagnostics</t>
  </si>
  <si>
    <t>Unscored transparency diagnostic for unsupported commitments. Evidence is still mandatory.</t>
  </si>
  <si>
    <t>No</t>
  </si>
  <si>
    <t>EQ1-D01</t>
  </si>
  <si>
    <t>Unsupported provider/model commitment</t>
  </si>
  <si>
    <t>The provider must remain configurable; no exact provider or model was supplied.</t>
  </si>
  <si>
    <t>Azure OpenAI; transcription model gpt-4o-transcribe; extraction model gpt-5.4</t>
  </si>
  <si>
    <t>Conversation L0040: "Azure OpenAI"; GENERATED BLUEPRINT technical_spec.model_provider = "azure_openai"; GENERATED BLUEPRINT technical_spec.model_preferences.transcription_model = "gpt-4o-transcribe"; GENERATED BLUEPRINT technical_spec.model_preferences.extraction_model = "gpt-5.4"; GENERATED BLUEPRINT models.provider = "azure_openai"; GENERATED BLUEPRINT models.transcription_model = "gpt-4o-transcribe"; GENERATED BLUEPRINT models.extraction_model = "gpt-5.4"; generated_package\poc\config.yaml models.transcription = "gpt-4o-transcribe"; generated_package\poc\config.yaml models.extraction = "gpt-5.4"</t>
  </si>
  <si>
    <t>azure_openai / gpt-4o-transcribe / gpt-5.4 presented as configured values</t>
  </si>
  <si>
    <t>GENERATED BLUEPRINT technical_spec.model_provider = "azure_openai"; GENERATED BLUEPRINT technical_spec.model_preferences.transcription_model = "gpt-4o-transcribe"; GENERATED BLUEPRINT technical_spec.model_preferences.extraction_model = "gpt-5.4"; GENERATED BLUEPRINT models.provider = "azure_openai"; CONVERSATION L0045: "Model provider: Azure OpenAI"; CONVERSATION L0078: "Transcription model: gpt-4o-transcribe Extraction/generation model: gpt-5.4, temperature = 0.0"</t>
  </si>
  <si>
    <t>EQ1-D02</t>
  </si>
  <si>
    <t>Unsupported retention period</t>
  </si>
  <si>
    <t>No exact retention period was supplied.</t>
  </si>
  <si>
    <t>No specified retention period / retention_policy = not_specified</t>
  </si>
  <si>
    <t>Conversation L0052: "The approved ticket and supervisor approval decision may be retained, but no exact retention period is specified."; GENERATED BLUEPRINT technical_spec.security_constraints[2] = "No specified retention period"; GENERATED BLUEPRINT governance.data_handling.retention_policy = "not_specified"</t>
  </si>
  <si>
    <t>retention_policy = not_specified; approved ticket retention may be retained; no exact retention period specified</t>
  </si>
  <si>
    <t>GENERATED BLUEPRINT governance.data_handling.retention_policy = "not_specified"; GENERATED BLUEPRINT technical_spec.security_constraints.approved_ticket_retention = "may be retained; no exact retention period specified"; GENERATED BLUEPRINT technical_spec.security_constraints.supervisor_approval_decision_retention = "may be retained"; CONVERSATION L0065: "The PoC must not retain raw audio after processing. The approved ticket and supervisor approval decision may be retained, but no exact retention period is specified."</t>
  </si>
  <si>
    <t>EQ1-D03</t>
  </si>
  <si>
    <t>Unsupported SLA, volume, budget, or deployment commitment</t>
  </si>
  <si>
    <t>No SLA, throughput, budget, or deployment topology was supplied.</t>
  </si>
  <si>
    <t>Integration with the maintenance system is out of scope for the PoC; approved JSON ticket is the final output</t>
  </si>
  <si>
    <t>Conversation L0149: "For the PoC, save the approved ticket as JSON; a live API is outside scope."; GENERATED BLUEPRINT assumptions[3].text = "Integration with the maintenance system is out of scope for the PoC; the approved JSON ticket is the final output."; GENERATED BLUEPRINT technical_spec.integration_targets = []; GENERATED BLUEPRINT business_spec.stakeholders = []; searched for SLA/throughput/volume/budget/deployment topology in conversation, GENERATED BLUEPRINT technical_spec, assumptions, package, runtime, and PoC config; no exact SLA, throughput, budget, or deployment topology value found</t>
  </si>
  <si>
    <t>No SLA/throughput/budget values; deployment/runtime noted as CLI PoC, mobile app upload production; integration out of PoC scope</t>
  </si>
  <si>
    <t>GENERATED BLUEPRINT technical_spec.evaluation_requirements.thresholds = "none specified for single-fixture PoC"; GENERATED BLUEPRINT technical_spec.runtime_interface = "cli (PoC); mobile app upload (production)"; GENERATED BLUEPRINT runtime.interface = "cli"; GENERATED BLUEPRINT technical_spec.integration_targets = []; GENERATED BLUEPRINT assumption_003 text = "Integration with the downstream maintenance system is out of PoC scope; integration_targets is empty."; SEARCHED GENERATED BLUEPRINT for SLA, throughput, volume, budget, deployment topology fields and found none; CONVERSATION L0065 contains scope/security details but no SLA, volume, budget, or deployment topology commitment.</t>
  </si>
  <si>
    <t>EQ2 Configuration</t>
  </si>
  <si>
    <t>GAIK module/component constraints and behavior-changing options.</t>
  </si>
  <si>
    <t>EQ2-C01</t>
  </si>
  <si>
    <t>Knowledge-process classification</t>
  </si>
  <si>
    <t>knowledge_capture</t>
  </si>
  <si>
    <t>initial_prompt.txt</t>
  </si>
  <si>
    <t>GENERATED BLUEPRINT: $.use_case.knowledge_processes[0] = "knowledge_capture"</t>
  </si>
  <si>
    <t>EQ2-C02</t>
  </si>
  <si>
    <t>Module-first selection</t>
  </si>
  <si>
    <t>AudioToStructuredData (id: audio_to_structured_data)</t>
  </si>
  <si>
    <t>gaik_basis.expected_module</t>
  </si>
  <si>
    <t>GENERATED BLUEPRINT: $.components.selected_modules[0].name = "AudioToStructuredData"; $.components.selected_modules[0].id = "audio_to_structured_data"</t>
  </si>
  <si>
    <t>GENERATED BLUEPRINT: $.components.selected_modules[0].id = "audio_to_structured_data"; $.components.selected_modules[0].name = "AudioToStructuredData"</t>
  </si>
  <si>
    <t>EQ2-C03</t>
  </si>
  <si>
    <t>Transcription language option</t>
  </si>
  <si>
    <t>language = fi</t>
  </si>
  <si>
    <t>scripted_answers.json#SA02; gaik_basis</t>
  </si>
  <si>
    <t>GENERATED BLUEPRINT: $.technical_spec.language = "fi"; also $.workflow.steps[1].parameters.language = "fi"</t>
  </si>
  <si>
    <t>EQ2-C04</t>
  </si>
  <si>
    <t>Finnish transcript enhancement option</t>
  </si>
  <si>
    <t>enhanced_transcript = true</t>
  </si>
  <si>
    <t>gaik_basis.expected_module.selection_relevant_options</t>
  </si>
  <si>
    <t>GENERATED BLUEPRINT: $.workflow.steps[1].parameters.enhanced_transcript = true; PoC config in generated_package\poc\run_poc.py excerpt: transcriber_ctor = { ..., "enhanced_transcript": True, ... }</t>
  </si>
  <si>
    <t>GENERATED BLUEPRINT: $.workflow.steps[1].parameters.enhanced_transcript = true; RELEVANT PoC FILE generated_package\poc\run_poc.py excerpt: transcriber_ctor = { ..., "enhanced_transcript": True, ... }</t>
  </si>
  <si>
    <t>EQ2-C05</t>
  </si>
  <si>
    <t>No redundant implementation pipeline</t>
  </si>
  <si>
    <t>The PoC invokes AudioToStructuredData once and does not independently invoke its subsumed Transcriber, TranscriptEnhancer, SchemaGenerator, or DataExtractor pipeline.</t>
  </si>
  <si>
    <t>gaik_basis.expected_module.uses_components</t>
  </si>
  <si>
    <t>Single AudioToStructuredData execution; separate Transcriber/TranscriptEnhancer not selected as executable steps</t>
  </si>
  <si>
    <t>GENERATED BLUEPRINT: $.workflow.steps[1].component = "AudioToStructuredData" and $.workflow.steps has no separate Transcriber/TranscriptEnhancer/SchemaGenerator/DataExtractor step; $.components.selected_modules[0].name = "AudioToStructuredData"; conversation L0293-L0294: "Separate Transcriber + TranscriptEnhancer	Subsumed by AudioToStructuredData(enhanced_transcript=True) — never add both"; PoC file generated_package\poc\run_poc.py excerpt: imports only AudioToStructuredData and calls pipeline.run(...) once</t>
  </si>
  <si>
    <t>PoC imports and runs AudioToStructuredData once; no separate standalone Transcriber/TranscriptEnhancer/SchemaGenerator/DataExtractor pipeline invocation found</t>
  </si>
  <si>
    <t>RELEVANT PoC FILE generated_package\poc\run_poc.py excerpt: 'from gaik.software_modules.audio_to_structured_data import AudioToStructuredData' and 'pipeline = AudioToStructuredData(use_azure=use_azure)' and 'result = pipeline.run(...)'; searched generated_package\poc\run_poc.py for separate execution of Transcriber/TranscriptEnhancer/SchemaGenerator/DataExtractor and found only module-level run plus optional LLMJudge</t>
  </si>
  <si>
    <t>EQ2-C06</t>
  </si>
  <si>
    <t>Structured extraction configuration</t>
  </si>
  <si>
    <t>A schema/requirements artifact defines all required maintenance-ticket fields.</t>
  </si>
  <si>
    <t>scripted_answers.json#SA03; gaik_basis</t>
  </si>
  <si>
    <t>MaintenanceTicket schema/requirements artifact with required maintenance-ticket fields</t>
  </si>
  <si>
    <t>GENERATED BLUEPRINT: $.target_output_spec.schema_name = "MaintenanceTicket"; $.target_output_spec.fields = ["reporter_name","asset_identifier","location","fault_description","urgency","observation_date","observation_time","actions_taken","uncertain_fields"]; $.workflow.steps[1].parameters.schema_ref = "schemas/output_schema.py"; $.workflow.steps[1].parameters.requirements_ref = "schemas/output_schema_requirements.json"; PoC prompt file generated_package\poc\prompts\extraction_requirements.md defines these fields under headings `reporter_name`, `asset_identifier`, `location`, `fault_description`, `urgency`, `observation_date`, `observation_time`, `actions_taken`, `uncertain_fields`</t>
  </si>
  <si>
    <t>GENERATED BLUEPRINT: $.target_output_spec.schema_name = "MaintenanceTicket"; $.target_output_spec.fields = ["reporter_name","asset_identifier","location","fault_description","urgency","observation_date","observation_time","actions_taken","uncertain_fields"]; $.workflow.steps[2].parameters.schema_ref = "schemas/output_schema.py"; $.workflow.steps[2].parameters.requirements_ref = "schemas/output_schema_requirements.json". RELEVANT PoC FILE generated_package\poc\prompts\extraction_requirements.md excerpt lists all nine fields and marks required ones: '### location ... **[REQUIRED]**', '### fault_description ... **[REQUIRED]**', '### urgency ... **[REQUIRED]**'</t>
  </si>
  <si>
    <t>EQ2-C07</t>
  </si>
  <si>
    <t>Review placement</t>
  </si>
  <si>
    <t>Human review follows structured extraction and precedes maintenance-system transfer.</t>
  </si>
  <si>
    <t>Supervisor review after structured extraction/validation; maintenance-system transfer only after approval; PoC saves approved JSON</t>
  </si>
  <si>
    <t>GENERATED BLUEPRINT: $.workflow.steps[1].id = "process_audio"; $.workflow.steps[2].id = "validate_ticket" depends_on ["process_audio"]; $.workflow.steps[3].id = "supervisor_review" depends_on ["validate_ticket"]; conversation L0149-L0150: "Only an approved ticket may be transferred to the maintenance management system. For the PoC, save the approved ticket as JSON; a live API is outside scope."</t>
  </si>
  <si>
    <t>Review occurs after structured extraction/validation and before any transfer; PoC saves approved ticket as JSON, live API out of scope</t>
  </si>
  <si>
    <t>GENERATED BLUEPRINT workflow order: $.workflow.steps[2].id = "extract_ticket_fields", $.workflow.steps[3].id = "validate_ticket", $.workflow.steps[4].id = "notify_supervisor", $.workflow.steps[5].id = "supervisor_review"; $.technical_spec.integration_targets = []; CONVERSATION L0174: "The supervisor reviews the structured ticket, uncertainty information, and transcript. The supervisor either approves the ticket or returns it to the field technician for correction and resubmission. Only an approved ticket may be transferred to the maintenance management system. For the PoC, save the approved ticket as JSON; a live API is outside scope."</t>
  </si>
  <si>
    <t>EQ2-C08</t>
  </si>
  <si>
    <t>Review inputs</t>
  </si>
  <si>
    <t>Supervisor receives the structured ticket, uncertainty/missing-field information, and transcript evidence.</t>
  </si>
  <si>
    <t>scripted_answers.json#SA04; scripted_answers.json#SA05</t>
  </si>
  <si>
    <t>Supervisor receives structured ticket, validation/uncertainty information, and transcript</t>
  </si>
  <si>
    <t>Conversation L0149-L0149: "The supervisor reviews the structured ticket, uncertainty information, and transcript."; conversation L0326-L0329: "Validate extracted ticket against transcript (LLMJudge)" and "Supervisor reviews ticket, transcript and validation report"; GENERATED BLUEPRINT: $.workflow.steps[3].inputs = ["maintenance_ticket_json", "validation_report"]</t>
  </si>
  <si>
    <t>Supervisor receives ticket_json, validation_report, and enhanced_transcript</t>
  </si>
  <si>
    <t>GENERATED BLUEPRINT: $.workflow.steps[5].inputs = ["ticket_json", "validation_report", "enhanced_transcript"]; also $.workflow.steps[4].inputs = ["ticket_json", "validation_report", "enhanced_transcript"]; CONVERSATION L0174: "The supervisor reviews the structured ticket, uncertainty information, and transcript."</t>
  </si>
  <si>
    <t>EQ2-C09</t>
  </si>
  <si>
    <t>PoC output behavior</t>
  </si>
  <si>
    <t>CLI accepts audio and saves JSON; live API integration is not required.</t>
  </si>
  <si>
    <t>scripted_answers.json#SA05; scripted_answers.json#SA07</t>
  </si>
  <si>
    <t>CLI accepts audio and saves JSON; live API integration out of scope</t>
  </si>
  <si>
    <t>PoC file generated_package\poc\run_poc.py excerpt: argparse usage supports `python run_poc.py` and `python run_poc.py --input my.wav`; function `find_input_file` accepts audio files; output saved via `output_path = output_dir / f"{input_file.stem}_ticket.json"` and `output_path.write_text(...)`; conversation L0149-L0149: "For the PoC, save the approved ticket as JSON; a live API is outside scope."; GENERATED BLUEPRINT: $.technical_spec.integration_targets = [] and $.runtime.entrypoint = "poc/run_poc.py"</t>
  </si>
  <si>
    <t>CLI accepts audio and saves JSON; live API integration outside scope</t>
  </si>
  <si>
    <t>GENERATED BLUEPRINT: $.runtime.interface = "cli"; $.runtime.entrypoint = "poc/run_poc.py"; $.technical_spec.integration_targets = []; RELEVANT PoC FILE generated_package\poc\run_poc.py docstring excerpt: 'python run_poc.py ... expects a file in sample_input/' and CLI arg '--input'; output write excerpt: 'output_path = output_dir / f"{input_file.stem}_ticket.json"' and 'output_path.write_text(...)'; CONVERSATION L0174: 'For the PoC, save the approved ticket as JSON; a live API is outside scope.'</t>
  </si>
  <si>
    <t>EQ3 Package</t>
  </si>
  <si>
    <t>A run is a valid solution package only when every mandatory EQ3 check receives Yes.</t>
  </si>
  <si>
    <t>EQ3-P01</t>
  </si>
  <si>
    <t>Blueprint presence and JSON parsing</t>
  </si>
  <si>
    <t>generated_package/use_case.blueprint.json exists, is non-empty, and parses as JSON.</t>
  </si>
  <si>
    <t>file path; file size; JSON parser result</t>
  </si>
  <si>
    <t>Blueprint parsed; 19683 bytes.</t>
  </si>
  <si>
    <t>C:\Users\h02317\Downloads\UC01_audio_incident_evaluation\runs\run_01\generated_package\use_case.blueprint.json: JSON parsed successfully.</t>
  </si>
  <si>
    <t>pass</t>
  </si>
  <si>
    <t>Blueprint parsed; 20286 bytes.</t>
  </si>
  <si>
    <t>C:\Users\h02317\Downloads\UC01_audio_incident_evaluation\runs\run_02\generated_package\use_case.blueprint.json: JSON parsed successfully.</t>
  </si>
  <si>
    <t>EQ3-P02</t>
  </si>
  <si>
    <t>Official blueprint validation</t>
  </si>
  <si>
    <t>The GAIK Solution Wizard validator returns exit code 0 with no blocking errors.</t>
  </si>
  <si>
    <t>validator command; exit code; validator output excerpt</t>
  </si>
  <si>
    <t>EQ3-P03</t>
  </si>
  <si>
    <t>Artifact-flow consistency</t>
  </si>
  <si>
    <t>Step inputs/outputs reference declared artifacts; generated artifacts have valid producers; dependencies are resolvable.</t>
  </si>
  <si>
    <t>checked step/artifact counts; rule result; relevant JSON paths</t>
  </si>
  <si>
    <t>Artifact flow is internally consistent.</t>
  </si>
  <si>
    <t>Checked 6 workflow steps and 6 artifacts. Undeclared references: none; invalid dependencies: none; producer mismatches: none.</t>
  </si>
  <si>
    <t>EQ3-P04</t>
  </si>
  <si>
    <t>Mermaid workflow</t>
  </si>
  <si>
    <t>workflow.mmd exists, is non-empty, and contains the workflow step labels or identifiers.</t>
  </si>
  <si>
    <t>file path; file size; matched step count</t>
  </si>
  <si>
    <t>Mermaid workflow present and covers steps.</t>
  </si>
  <si>
    <t>C:\Users\h02317\Downloads\UC01_audio_incident_evaluation\runs\run_01\generated_package\workflow.mmd; 614 bytes; matched 4/4 steps: ['record_voice_message', 'process_audio', 'validate_ticket', 'supervisor_review'].</t>
  </si>
  <si>
    <t>C:\Users\h02317\Downloads\UC01_audio_incident_evaluation\runs\run_02\generated_package\workflow.mmd; 876 bytes; matched 6/6 steps: ['record_and_upload', 'transcribe_audio', 'extract_ticket_fields', 'validate_ticket', 'notify_supervisor', 'supervisor_review'].</t>
  </si>
  <si>
    <t>EQ3-P05</t>
  </si>
  <si>
    <t>BPMN workflow and traceability</t>
  </si>
  <si>
    <t>workflow.bpmn is well-formed XML and its mapping or element identifiers cover the blueprint workflow.</t>
  </si>
  <si>
    <t>file path; XML parser result; matched step/mapping count</t>
  </si>
  <si>
    <t>BPMN parsed and maps workflow steps.</t>
  </si>
  <si>
    <t>C:\Users\h02317\Downloads\UC01_audio_incident_evaluation\runs\run_01\generated_package\workflow.bpmn; XML parsed; 81 element ids; matched 4/4 blueprint steps through BPMN ids/names/mapping.</t>
  </si>
  <si>
    <t>C:\Users\h02317\Downloads\UC01_audio_incident_evaluation\runs\run_02\generated_package\workflow.bpmn; XML parsed; 117 element ids; matched 6/6 blueprint steps through BPMN ids/names/mapping.</t>
  </si>
  <si>
    <t>EQ3-P06</t>
  </si>
  <si>
    <t>PoC scaffold completeness</t>
  </si>
  <si>
    <t>poc/ contains an executable entrypoint, dependency declaration, configuration/example environment, extraction prompt, and output schema or schema-generation assets.</t>
  </si>
  <si>
    <t>matched files; missing alternatives, if any</t>
  </si>
  <si>
    <t>PoC scaffold contains all required file categories.</t>
  </si>
  <si>
    <t>C:\Users\h02317\Downloads\UC01_audio_incident_evaluation\runs\run_01\generated_package\poc; matched files by category: {"entrypoint": ["run_poc.py"], "dependencies": ["requirements.txt"], "configuration": ["config.yaml"], "prompts": ["prompts\\extraction_requirements.md"], "schemas": ["schemas\\output_schema.hash", "schemas\\output_schema.json", "schemas\\output_schema.py", "schemas\\output_schema_requirements.json"]}</t>
  </si>
  <si>
    <t>C:\Users\h02317\Downloads\UC01_audio_incident_evaluation\runs\run_02\generated_package\poc; matched files by category: {"entrypoint": ["run_poc.py"], "dependencies": ["requirements.txt"], "configuration": ["config.yaml"], "prompts": ["prompts\\extraction_requirements.md"], "schemas": ["schemas\\output_schema.hash", "schemas\\output_schema.json", "schemas\\output_schema.py", "schemas\\output_schema_requirements.json"]}</t>
  </si>
  <si>
    <t>EQ3-P07</t>
  </si>
  <si>
    <t>Documentation completeness</t>
  </si>
  <si>
    <t>docs/ contains at least one non-empty use-case-specific document and the PoC contains usage instructions.</t>
  </si>
  <si>
    <t>document paths; file sizes</t>
  </si>
  <si>
    <t>Documentation and PoC usage instructions are present.</t>
  </si>
  <si>
    <t>Non-empty documents: ['docs\\developer_guide.md (5388 bytes)', 'docs\\evaluation_plan.md (5423 bytes)', 'docs\\genai_product_canvas.md (3922 bytes)', 'docs\\technical_specification.md (4717 bytes)', 'docs\\user_guide.md (3312 bytes)', 'poc\\README.md (4278 bytes)'].</t>
  </si>
  <si>
    <t>Non-empty documents: ['docs\\developer_guide.md (5951 bytes)', 'docs\\evaluation_plan.md (5063 bytes)', 'docs\\genai_product_canvas.md (3656 bytes)', 'docs\\technical_specification.md (5173 bytes)', 'docs\\user_guide.md (2796 bytes)', 'poc\\README.md (4674 bytes)'].</t>
  </si>
  <si>
    <t>EQ3-P08</t>
  </si>
  <si>
    <t>Requirement-to-component traceability</t>
  </si>
  <si>
    <t>The blueprint traceability data connects selected module/component decisions to stated requirements.</t>
  </si>
  <si>
    <t>traceability entry count; module/component names; requirement references</t>
  </si>
  <si>
    <t>Traceability entries connect selected GAIK assets to requirements.</t>
  </si>
  <si>
    <t>Traceability entries=5; selected assets=['AudioToStructuredData', 'LLMJudge']; mentioned assets=['AudioToStructuredData', 'LLMJudge'].</t>
  </si>
  <si>
    <t>Traceability entries=3; selected assets=['AudioToStructuredData', 'Transcriber', 'Extractor', 'LLMJudge']; mentioned assets=['Transcriber', 'Extractor', 'LLMJudge'].</t>
  </si>
  <si>
    <t>EQ4 Execution</t>
  </si>
  <si>
    <t>A run is a successful PoC only when every mandatory EQ4 check for the original unmodified PoC receives Yes.</t>
  </si>
  <si>
    <t>EQ4-X01</t>
  </si>
  <si>
    <t>PoC setup/build</t>
  </si>
  <si>
    <t>For the original unmodified PoC, the declared setup or import command completes with exit code 0.</t>
  </si>
  <si>
    <t>command; exit code; log excerpt</t>
  </si>
  <si>
    <t>setup exit code=0</t>
  </si>
  <si>
    <t>C:\Users\h02317\Downloads\UC01_audio_incident_evaluation\runs\run_01\poc_execution.json;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5)) (6.0.3)
Requirement already satisfied: gaik[audio-to-structured-data] in c:\users\h02317\appdata\local\programs\python\python312\lib\site-packages (from -r requirements.txt (line 3)) (0.5.16)
Requirement already satisfied: annotated-types&gt;=0.6.0 in c:\users\h02317\appdata\local\programs\python\python312\lib\site-pack; stderr=
[notice] A new release of pip is available: 25.0.1 -&gt; 26.1.2
[notice] To update, run: python.exe -m pip install --upgrade pip</t>
  </si>
  <si>
    <t>C:\Users\h02317\Downloads\UC01_audio_incident_evaluation\runs\run_02\poc_execution.json;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7)) (6.0.3)
Requirement already satisfied: gaik[audio-to-structured-data] in c:\users\h02317\appdata\local\programs\python\python312\lib\site-packages (from -r requirements.txt (line 3)) (0.5.16)
Requirement already satisfied: annotated-types&gt;=0.6.0 in c:\users\h02317\appdata\local\programs\python\python312\lib\site-pack; stderr=
[notice] A new release of pip is available: 25.0.1 -&gt; 26.1.2
[notice] To update, run: python.exe -m pip install --upgrade pip</t>
  </si>
  <si>
    <t>EQ4-X02</t>
  </si>
  <si>
    <t>End-to-end execution</t>
  </si>
  <si>
    <t>The original unmodified generated PoC processes incident_report_fi.wav and exits with code 0.</t>
  </si>
  <si>
    <t>command; input fixture path/hash; exit code; log excerpt</t>
  </si>
  <si>
    <t>run exit code=0</t>
  </si>
  <si>
    <t>C:\Users\h02317\Downloads\UC01_audio_incident_evaluation\runs\run_01\poc_execution.json; fixture={'path': 'C:\\Users\\h02317\\Downloads\\UC01_audio_incident_evaluation\\fixtures\\incident_report_fi.wav', 'sha256': 'ae7a380b378f298185434c23efe8ba892389bdbbbaee925c5717c954897c4464', 'size_bytes': 981626}; command=['C:\\Users\\h02317\\AppData\\Local\\Programs\\Python\\Python312\\python.exe', 'run_poc.py', '--input', 'C:\\Users\\h02317\\Downloads\\UC01_audio_incident_evaluation\\fixtures\\incident_report_fi.wav']; stdout=Loading pipeline: AudioToStructuredData (use_azure=True)
  Transcription model : gpt-4o-transcribe
  Extraction model    : gpt-5.4
  Language            : fi
Input file: C:\Users\h02317\Downloads\UC01_audio_incident_evaluation\fixtures\incident_report_fi.wav
Using approved schema (requirements unchanged).
================================================================================
Transcribing file: C:\Users\h02317\Downloads\UC01_audio_incident_evaluation\fixtures\incident_report_fi.wav
Use case: maintenance_fault_reporting
================================================================================
Transcribing prompt: Detect the language and extract transcript in the same language. The audio could be in any language, such as English, Finnish, Swedish, etc.
Local transcription opt; stderr=INFO:httpx:HTTP Request: POST https://haagahelia-poc-gaik.openai.azure.com/openai/deployments/gpt-5.4-mini/chat/completions?api-version=2025-03-01-preview "HTTP/1.1 200 OK"</t>
  </si>
  <si>
    <t>C:\Users\h02317\Downloads\UC01_audio_incident_evaluation\runs\run_02\poc_execution.json; fixture={'path': 'C:\\Users\\h02317\\Downloads\\UC01_audio_incident_evaluation\\fixtures\\incident_report_fi.wav', 'sha256': 'ae7a380b378f298185434c23efe8ba892389bdbbbaee925c5717c954897c4464', 'size_bytes': 981626}; command=['C:\\Users\\h02317\\AppData\\Local\\Programs\\Python\\Python312\\python.exe', 'run_poc.py', '--input', 'C:\\Users\\h02317\\Downloads\\UC01_audio_incident_evaluation\\fixtures\\incident_report_fi.wav']; stdout=Loading pipeline: AudioToStructuredData (use_azure=True)
  Transcription model : gpt-4o-transcribe
  Extraction model    : gpt-5.4
  Language            : fi
Input file: C:\Users\h02317\Downloads\UC01_audio_incident_evaluation\fixtures\incident_report_fi.wav
Using approved schema (requirements unchanged).
================================================================================
Transcribing file: C:\Users\h02317\Downloads\UC01_audio_incident_evaluation\fixtures\incident_report_fi.wav
Use case: maintenance_ticket
================================================================================
Transcribing prompt: Detect the language and extract transcript in the same language. The audio could be in any language, such as English, Finnish, Swedish, etc.
Local transcription options are ; stderr=INFO:httpx:HTTP Request: POST https://haagahelia-poc-gaik.openai.azure.com/openai/deployments/gpt-5.4-mini/chat/completions?api-version=2025-03-01-preview "HTTP/1.1 200 OK"</t>
  </si>
  <si>
    <t>EQ4-X03</t>
  </si>
  <si>
    <t>Machine-readable output</t>
  </si>
  <si>
    <t>The original unmodified PoC generates a new non-empty JSON ticket that parses successfully.</t>
  </si>
  <si>
    <t>output path; file size; JSON parser result</t>
  </si>
  <si>
    <t>[{"path": "output\\incident_report_fi_ticket.json", "size_bytes": 392, "json_parsed": true}, {"path": "output\\incident_report_fi_validation.json", "size_bytes": 813, "json_parsed": true}, {"path": "output\\incident_report_fi_ticket.json", "size_bytes": 392, "json_parsed": true}, {"path": "output\\incident_report_fi_validation.json", "size_bytes": 813, "json_parsed": true}]</t>
  </si>
  <si>
    <t>C:\Users\h02317\Downloads\UC01_audio_incident_evaluation\runs\run_01\poc_execution.json; parsed output paths=['C:\\Users\\h02317\\Downloads\\UC01_audio_incident_evaluation\\runs\\run_01\\generated_package\\poc\\output\\incident_report_fi_ticket.json', 'C:\\Users\\h02317\\Downloads\\UC01_audio_incident_evaluation\\runs\\run_01\\generated_package\\poc\\output\\incident_report_fi_validation.json', 'C:\\Users\\h02317\\Downloads\\UC01_audio_incident_evaluation\\runs\\run_01\\generated_package\\poc\\output\\incident_report_fi_ticket.json', 'C:\\Users\\h02317\\Downloads\\UC01_audio_incident_evaluation\\runs\\run_01\\generated_package\\poc\\output\\incident_report_fi_validation.json']</t>
  </si>
  <si>
    <t>[{"path": "output\\incident_report_fi_ticket.json", "size_bytes": 390, "json_parsed": true}, {"path": "output\\incident_report_fi_validation.json", "size_bytes": 52, "json_parsed": true}, {"path": "output\\incident_report_fi_ticket.json", "size_bytes": 390, "json_parsed": true}, {"path": "output\\incident_report_fi_validation.json", "size_bytes": 52, "json_parsed": true}]</t>
  </si>
  <si>
    <t>C:\Users\h02317\Downloads\UC01_audio_incident_evaluation\runs\run_02\poc_execution.json; parsed output paths=['C:\\Users\\h02317\\Downloads\\UC01_audio_incident_evaluation\\runs\\run_02\\generated_package\\poc\\output\\incident_report_fi_ticket.json', 'C:\\Users\\h02317\\Downloads\\UC01_audio_incident_evaluation\\runs\\run_02\\generated_package\\poc\\output\\incident_report_fi_validation.json', 'C:\\Users\\h02317\\Downloads\\UC01_audio_incident_evaluation\\runs\\run_02\\generated_package\\poc\\output\\incident_report_fi_ticket.json', 'C:\\Users\\h02317\\Downloads\\UC01_audio_incident_evaluation\\runs\\run_02\\generated_package\\poc\\output\\incident_report_fi_validation.json']</t>
  </si>
  <si>
    <t>EQ4-X04</t>
  </si>
  <si>
    <t>Fixture acceptance</t>
  </si>
  <si>
    <t>The original unmodified PoC output preserves the expected incident facts in expected_ticket.json and does not silently invent unsupported ticket facts.</t>
  </si>
  <si>
    <t>expected value; generated value; output JSON path; comparison explanation</t>
  </si>
  <si>
    <t>Oracle fixture: C:\Users\h02317\Downloads\UC01_audio_incident_evaluation\fixtures\expected_ticket.json={"reporter_name": "Matti Virtanen", "asset_identifier": "P-17", "location": "kattilahuone B2", "fault_description": "Pumppu P-17 vuotaa", "urgency": "korkea", "observation_date": "2026-07-26", "observation_time": "09:30", "actions_taken": ["alue merkitty", "pumppu pysäytetty"], "must_not_appear_without_explicit_unknown_marker": ["maintenance_ticket_id", "repair_cost", "root_cause", "repair_deadline"]}; generated output evidence: C:\Users\h02317\Downloads\UC01_audio_incident_evaluation\runs\run_01\poc_execution.json outputs.</t>
  </si>
  <si>
    <t>[[{"reporter_name": "Matti Virtanen", "asset_identifier": "Pumppu P17", "location": "kattilahuoneessa B2", "fault_description": "Pumppu P17 vuotaa", "urgency": "high", "observation_date": "2026-07-26", "observation_time": "09:30", "actions_taken": ["Merkitsin alueen", "pysäytin pumpun"], "uncertain_fields": []}], {"hallucination_flags": [], "passed": true}, [{"reporter_name": "Matti Virtanen", "asset_identifier": "Pumppu P17", "location": "kattilahuoneessa B2", "fault_description": "Pumppu P17 vuotaa", "urgency": "high", "observation_date": "2026-07-26", "observation_time": "09:30", "actions_taken": ["Merkitsin alueen", "pysäytin pumpun"], "uncertain_fields": []}], {"hallucination_flags": [], "passed": true}]</t>
  </si>
  <si>
    <t>Oracle fixture: C:\Users\h02317\Downloads\UC01_audio_incident_evaluation\fixtures\expected_ticket.json={"reporter_name": "Matti Virtanen", "asset_identifier": "P-17", "location": "kattilahuone B2", "fault_description": "Pumppu P-17 vuotaa", "urgency": "korkea", "observation_date": "2026-07-26", "observation_time": "09:30", "actions_taken": ["alue merkitty", "pumppu pysäytetty"], "must_not_appear_without_explicit_unknown_marker": ["maintenance_ticket_id", "repair_cost", "root_cause", "repair_deadline"]}; generated output evidence: C:\Users\h02317\Downloads\UC01_audio_incident_evaluation\runs\run_02\poc_execution.json outputs.</t>
  </si>
  <si>
    <t>PoC recovery diagnostic</t>
  </si>
  <si>
    <t>Unscored diagnostic. EQ4 remains based on the original unmodified PoC; recovery permits at most three wizard refinement attempts.</t>
  </si>
  <si>
    <t>Run 1 value</t>
  </si>
  <si>
    <t>Run 2 value</t>
  </si>
  <si>
    <t>Protocol value</t>
  </si>
  <si>
    <t>Original execution successful</t>
  </si>
  <si>
    <t>C:\Users\h02317\Downloads\UC01_audio_incident_evaluation\runs\run_01\poc_recovery.json; baseline=C:\Users\h02317\Downloads\UC01_audio_incident_evaluation\runs\run_01\poc_execution.json; attempts=[]</t>
  </si>
  <si>
    <t>C:\Users\h02317\Downloads\UC01_audio_incident_evaluation\runs\run_02\poc_recovery.json; baseline=C:\Users\h02317\Downloads\UC01_audio_incident_evaluation\runs\run_02\poc_execution.json; attempts=[]</t>
  </si>
  <si>
    <t>Yes or No</t>
  </si>
  <si>
    <t>The original execution remains the EQ4 evidence source.</t>
  </si>
  <si>
    <t>0</t>
  </si>
  <si>
    <t>0 means original success; N/A means never successful after three refinements.</t>
  </si>
  <si>
    <t>Final execution successful</t>
  </si>
  <si>
    <t>Yes, No, or blank</t>
  </si>
  <si>
    <t>Shows whether recovery ultimately produced an executable PoC.</t>
  </si>
  <si>
    <t>successful_original</t>
  </si>
  <si>
    <t>Protocol-controlled status</t>
  </si>
  <si>
    <t>Stop after first success or after refinement attempt 3.</t>
  </si>
  <si>
    <t>Azure OpenAI, model=gpt-5.4, temperature=0.0</t>
  </si>
  <si>
    <t xml:space="preserve">Although there is no explicit wizard-generated statement about single speaker or diarization, it was not enabled by the wizard. </t>
  </si>
  <si>
    <t>Audio transcript is available to the supervisor.</t>
  </si>
  <si>
    <t xml:space="preserve">In the first run, this is a confusion between the scripted answer and the user-supplied answer. While the PoC interface is command-line, the intended, final application will be a mobile application. </t>
  </si>
  <si>
    <t>[[{"reporter_name": "Matti Virtanen", "asset_identifier": "Pumppu P17", "location": "kattilahuoneessa B2", "fault_description": "Pumppu P17 vuotaa", "urgency": "high", "observation_date": "2026-06-26", "observation_time": "09:30", "actions_taken": ["Merkitsin alueen", "Pysäytin pumpun"], "uncertain_fields": null}], {"hallucination_flags": [{"field": "urgency", "value": "high", "severity": "wrong", "reason": "Source says 'Kiireellisyys on korkea' in Finnish, matching a high urgency value."}, {"field": "observation_date", "value": "2026-06-26", "severity": "wrong", "reason": "Source explicitly states the observation date as 26.6.2026."}, {"field": "observation_time", "value": "09:30", "severity": "wrong", "reason": "Source explicitly states the time as 9.30."}, {"field": "actions_taken", "value": "[\"Merkitsin alueen\", \"Pysäytin pumpun\"]", "severity": "wrong", "reason": "Source explicitly states both actions were taken."}], "passed": false}, [{"reporter_name": "Matti Virtanen", "asset_identifier": "Pumppu P17", "location": "kattilahuoneessa B2", "fault_description": "Pumppu P17 vuotaa", "urgency": "high", "observation_date": "2026-07-26", "observation_time": "09:30", "actions_taken": ["Merkitsin alueen", "Pysäytin pumpun"], "uncertain_fields": null}], {"hallucination_flags": [{"field": "urgency", "value": "high", "severity": "wrong", "reason": "Source says 'Kiireellisyys on korkea' in Finnish, matching a high urgency value."}, {"field": "observation_date", "value": "2026-07-26", "severity": "wrong", "reason": "Source explicitly states the observation date as 26.7.2026."}, {"field": "observation_time", "value": "09:30", "severity": "wrong", "reason": "Source explicitly states the time as 9.30."}, {"field": "actions_taken", "value": "[\"Merkitsin alueen\", \"Pysäytin pumpun\"]", "severity": "wrong", "reason": "Source explicitly states both actions were taken."}], "passed": false}]</t>
  </si>
  <si>
    <t>Validator exit code 0</t>
  </si>
  <si>
    <r>
      <t>Resolution: auto-discovered at C:</t>
    </r>
    <r>
      <rPr>
        <sz val="11"/>
        <rFont val="Consolas"/>
        <family val="3"/>
      </rPr>
      <t>\\Users\\h02317\\gaik-toolkit\\implementation_layer\\solution_wizard\\scripts\\validate_blueprint.py; command: ['C:\\\\Users\\\\h02317\\\\AppData\\\\Local\\\\Programs\\\\Python\\\\Python312\\\\python.exe', 'C:\\\\Users\\\\h02317\\\\gaik-toolkit\\\\implementation_layer\\\\solution_wizard\\\\scripts\\\\validate_blueprint.py', '--blueprint', 'C:\\\\Users\\\\h02317\\\\Downloads\\\\UC01_audio_incident_evaluation\\\\runs\\\\run_02\\\\generated_package\\\\use_case.blueprint.json']; cwd: C:\\Users\\h02317\\gaik-toolkit\\implementation_layer\\solution_wizard; output: Validation PASSED\n  WARNING Rule 10 [step: extract_ticket_fields]: Parameter 'schema_ref' = 'schemas/output_schema.py' in step 'extract_ticket_fields' references a path that cannot be verified at design time. Ensure this file exists at runtime or mark as 'to_be_generated'.\n  WARNING Rule 10 [step: extract_ticket_fields]: Parameter 'requirements_ref' = 'schemas/output_schema_requirements.json' in step 'extract_ticket_fields' references a path that cannot be verified at design time. Ensure this file exists at runtime or mark as 'to_be_generated'.\n  WARNING Rule 11: High-impact assumption 'assumption_001' is still unconfirmed. Resolve before production packaging. Text: \"Audio recordings are short field fault reports, typically under 3 minutes.\"\n  WARNING Rule 11: High-impact assumption 'assumption_004' is still unconfirmed. Resolve before production packaging. Text: \"Output sensitivity is treated as 'internal' — contains employee names and facility details but no explicit higher sensitivity classification was stated.\"",</t>
    </r>
  </si>
  <si>
    <t>   </t>
  </si>
  <si>
    <r>
      <t>Resolution: auto-discovered at C:</t>
    </r>
    <r>
      <rPr>
        <sz val="11"/>
        <rFont val="Consolas"/>
        <family val="3"/>
      </rPr>
      <t>\\Users\\h02317\\gaik-toolkit\\implementation_layer\\solution_wizard\\scripts\\validate_blueprint.py; command: ['C:\\\\Users\\\\h02317\\\\AppData\\\\Local\\\\Programs\\\\Python\\\\Python312\\\\python.exe', 'C:\\\\Users\\\\h02317\\\\gaik-toolkit\\\\implementation_layer\\\\solution_wizard\\\\scripts\\\\validate_blueprint.py', '--blueprint', 'C:\\\\Users\\\\h02317\\\\Downloads\\\\UC01_audio_incident_evaluation\\\\runs\\\\run_01\\\\generated_package\\\\use_case.blueprint.json']; cwd: C:\\Users\\h02317\\gaik-toolkit\\implementation_layer\\solution_wizard; output: Validation PASSED\n  WARNING Rule 10 [step: process_audio]: Parameter 'schema_ref' = 'schemas/output_schema.py' in step 'process_audio' references a path that cannot be verified at design time. Ensure this file exists at runtime or mark as 'to_be_generated'.\n  WARNING Rule 10 [step: process_audio]: Parameter 'requirements_ref' = 'schemas/output_schema_requirements.json' in step 'process_audio' references a path that cannot be verified at design time. Ensure this file exists at runtime or mark as 'to_be_generated'.\n  WARNING Rule 11: High-impact assumption 'assumption_001' is still unconfirmed. Resolve before production packaging. Text: \"Audio recordings are submitted in WAV, MP3, or M4A format via the mobile app.\"\n  WARNING Rule 11: High-impact assumption 'assumption_005' is still unconfirmed. Resolve before production packaging. Text: \"The personal data flag is set to 'yes' because audio may contain technician names and internal facility details.\"",</t>
    </r>
  </si>
  <si>
    <t>needs_review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</si>
</sst>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font>
      <sz val="11"/>
      <name val="Carlito"/>
    </font>
    <font>
      <b/>
      <sz val="16"/>
      <color rgb="FFFFFFFF"/>
      <name val="Carlito"/>
    </font>
    <font>
      <i/>
      <sz val="10"/>
      <color rgb="FF595959"/>
      <name val="Carlito"/>
    </font>
    <font>
      <b/>
      <sz val="11"/>
      <color rgb="FF17365D"/>
      <name val="Carlito"/>
    </font>
    <font>
      <sz val="11"/>
      <color rgb="FF000000"/>
      <name val="Consolas"/>
      <family val="3"/>
    </font>
    <font>
      <sz val="11"/>
      <name val="Consolas"/>
      <family val="3"/>
    </font>
  </fonts>
  <fills count="8">
    <fill>
      <patternFill patternType="none"/>
    </fill>
    <fill>
      <patternFill patternType="gray125"/>
    </fill>
    <fill>
      <patternFill patternType="solid">
        <fgColor rgb="FF17365D"/>
      </patternFill>
    </fill>
    <fill>
      <patternFill patternType="solid">
        <fgColor rgb="FFEEF5FB"/>
      </patternFill>
    </fill>
    <fill>
      <patternFill patternType="solid">
        <fgColor rgb="FFD9EAF7"/>
      </patternFill>
    </fill>
    <fill>
      <patternFill patternType="solid">
        <fgColor rgb="FFE7E6E6"/>
      </patternFill>
    </fill>
    <fill>
      <patternFill patternType="solid">
        <fgColor rgb="FFFFF2CC"/>
      </patternFill>
    </fill>
    <fill>
      <patternFill patternType="solid">
        <fgColor theme="0"/>
        <bgColor indexed="64"/>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4">
    <xf numFmtId="0" fontId="0" fillId="0" borderId="0" xfId="0"/>
    <xf numFmtId="0" fontId="3" fillId="4" borderId="1" xfId="0" applyFont="1" applyFill="1" applyBorder="1" applyAlignment="1">
      <alignment vertical="center" wrapText="1"/>
    </xf>
    <xf numFmtId="0" fontId="0" fillId="0" borderId="2" xfId="0" applyBorder="1" applyAlignment="1">
      <alignment wrapText="1"/>
    </xf>
    <xf numFmtId="0" fontId="0" fillId="0" borderId="2" xfId="0" applyBorder="1" applyAlignment="1">
      <alignment vertical="top" wrapText="1"/>
    </xf>
    <xf numFmtId="0" fontId="0" fillId="5" borderId="2" xfId="0" applyFill="1" applyBorder="1" applyAlignment="1">
      <alignment vertical="top" wrapText="1"/>
    </xf>
    <xf numFmtId="0" fontId="3" fillId="4" borderId="2" xfId="0" applyFont="1" applyFill="1" applyBorder="1" applyAlignment="1">
      <alignment vertical="top" wrapText="1"/>
    </xf>
    <xf numFmtId="0" fontId="0" fillId="0" borderId="1" xfId="0" applyBorder="1" applyAlignment="1">
      <alignment vertical="center" wrapText="1"/>
    </xf>
    <xf numFmtId="164" fontId="0" fillId="3" borderId="1" xfId="0" applyNumberFormat="1" applyFill="1" applyBorder="1" applyAlignment="1">
      <alignment vertical="center" wrapText="1"/>
    </xf>
    <xf numFmtId="0" fontId="3" fillId="6" borderId="2" xfId="0" applyFont="1" applyFill="1" applyBorder="1" applyAlignment="1">
      <alignment wrapText="1"/>
    </xf>
    <xf numFmtId="0" fontId="0" fillId="7" borderId="2" xfId="0" applyFill="1" applyBorder="1" applyAlignment="1">
      <alignment vertical="top" wrapText="1"/>
    </xf>
    <xf numFmtId="0" fontId="0" fillId="7" borderId="0" xfId="0" applyFill="1"/>
    <xf numFmtId="0" fontId="4" fillId="0" borderId="0" xfId="0" applyFont="1" applyAlignment="1">
      <alignment vertical="center"/>
    </xf>
    <xf numFmtId="0" fontId="1" fillId="2" borderId="0" xfId="0" applyFont="1" applyFill="1" applyAlignment="1">
      <alignment vertical="center"/>
    </xf>
    <xf numFmtId="0" fontId="2"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showGridLines="0" workbookViewId="0">
      <selection sqref="A1:N1"/>
    </sheetView>
  </sheetViews>
  <sheetFormatPr defaultRowHeight="14.25"/>
  <cols>
    <col min="1" max="1" width="18" customWidth="1"/>
    <col min="2" max="2" width="110" customWidth="1"/>
  </cols>
  <sheetData>
    <row r="1" spans="1:14" ht="27.95" customHeight="1">
      <c r="A1" s="12" t="s">
        <v>0</v>
      </c>
      <c r="B1" s="12"/>
      <c r="C1" s="12"/>
      <c r="D1" s="12"/>
      <c r="E1" s="12"/>
      <c r="F1" s="12"/>
      <c r="G1" s="12"/>
      <c r="H1" s="12"/>
      <c r="I1" s="12"/>
      <c r="J1" s="12"/>
      <c r="K1" s="12"/>
      <c r="L1" s="12"/>
      <c r="M1" s="12"/>
      <c r="N1" s="12"/>
    </row>
    <row r="2" spans="1:14" ht="39.950000000000003" customHeight="1">
      <c r="A2" s="13" t="s">
        <v>1</v>
      </c>
      <c r="B2" s="13"/>
      <c r="C2" s="13"/>
      <c r="D2" s="13"/>
      <c r="E2" s="13"/>
      <c r="F2" s="13"/>
      <c r="G2" s="13"/>
      <c r="H2" s="13"/>
      <c r="I2" s="13"/>
      <c r="J2" s="13"/>
      <c r="K2" s="13"/>
      <c r="L2" s="13"/>
      <c r="M2" s="13"/>
      <c r="N2" s="13"/>
    </row>
    <row r="4" spans="1:14" ht="15" customHeight="1">
      <c r="A4" s="5" t="s">
        <v>2</v>
      </c>
      <c r="B4" s="5" t="s">
        <v>3</v>
      </c>
    </row>
    <row r="5" spans="1:14" ht="26.45" customHeight="1">
      <c r="A5" s="3" t="s">
        <v>4</v>
      </c>
      <c r="B5" s="3" t="s">
        <v>5</v>
      </c>
    </row>
    <row r="6" spans="1:14" ht="15" customHeight="1">
      <c r="A6" s="3" t="s">
        <v>6</v>
      </c>
      <c r="B6" s="3" t="s">
        <v>7</v>
      </c>
    </row>
    <row r="7" spans="1:14" ht="15" customHeight="1">
      <c r="A7" s="3" t="s">
        <v>8</v>
      </c>
      <c r="B7" s="3" t="s">
        <v>9</v>
      </c>
    </row>
    <row r="8" spans="1:14" ht="15" customHeight="1">
      <c r="A8" s="3" t="s">
        <v>10</v>
      </c>
      <c r="B8" s="3" t="s">
        <v>11</v>
      </c>
    </row>
    <row r="9" spans="1:14" ht="15" customHeight="1">
      <c r="A9" s="3" t="s">
        <v>12</v>
      </c>
      <c r="B9" s="3" t="s">
        <v>13</v>
      </c>
    </row>
    <row r="10" spans="1:14" ht="15" customHeight="1">
      <c r="A10" s="3" t="s">
        <v>14</v>
      </c>
      <c r="B10" s="3" t="s">
        <v>15</v>
      </c>
    </row>
    <row r="11" spans="1:14" ht="15" customHeight="1">
      <c r="A11" s="3" t="s">
        <v>16</v>
      </c>
      <c r="B11" s="3" t="s">
        <v>17</v>
      </c>
    </row>
    <row r="12" spans="1:14" ht="15" customHeight="1">
      <c r="A12" s="3" t="s">
        <v>18</v>
      </c>
      <c r="B12" s="3" t="s">
        <v>19</v>
      </c>
    </row>
    <row r="13" spans="1:14" ht="15" customHeight="1">
      <c r="A13" s="3" t="s">
        <v>20</v>
      </c>
      <c r="B13" s="3" t="s">
        <v>21</v>
      </c>
    </row>
    <row r="14" spans="1:14" ht="15" customHeight="1">
      <c r="A14" s="3" t="s">
        <v>22</v>
      </c>
      <c r="B14" s="3" t="s">
        <v>23</v>
      </c>
    </row>
    <row r="15" spans="1:14" ht="15" customHeight="1">
      <c r="A15" s="3" t="s">
        <v>24</v>
      </c>
      <c r="B15" s="3" t="s">
        <v>25</v>
      </c>
    </row>
    <row r="16" spans="1:14" ht="15" customHeight="1">
      <c r="A16" s="3" t="s">
        <v>26</v>
      </c>
      <c r="B16" s="3" t="s">
        <v>27</v>
      </c>
    </row>
    <row r="17" spans="1:2" ht="15" customHeight="1">
      <c r="A17" s="3" t="s">
        <v>28</v>
      </c>
      <c r="B17" s="3" t="s">
        <v>29</v>
      </c>
    </row>
    <row r="18" spans="1:2" ht="15" customHeight="1">
      <c r="A18" s="3" t="s">
        <v>30</v>
      </c>
      <c r="B18" s="3" t="s">
        <v>31</v>
      </c>
    </row>
    <row r="19" spans="1:2" ht="15" customHeight="1">
      <c r="A19" s="3" t="s">
        <v>32</v>
      </c>
      <c r="B19" s="3" t="s">
        <v>33</v>
      </c>
    </row>
  </sheetData>
  <mergeCells count="2">
    <mergeCell ref="A1:N1"/>
    <mergeCell ref="A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showGridLines="0" workbookViewId="0">
      <selection activeCell="F16" sqref="F16"/>
    </sheetView>
  </sheetViews>
  <sheetFormatPr defaultRowHeight="14.25"/>
  <cols>
    <col min="1" max="1" width="14.875" customWidth="1"/>
    <col min="2" max="2" width="28" customWidth="1"/>
    <col min="3" max="4" width="14" customWidth="1"/>
    <col min="5" max="7" width="17" customWidth="1"/>
    <col min="8" max="8" width="52" customWidth="1"/>
  </cols>
  <sheetData>
    <row r="1" spans="1:14" ht="27.95" customHeight="1">
      <c r="A1" s="12" t="s">
        <v>34</v>
      </c>
      <c r="B1" s="12"/>
      <c r="C1" s="12"/>
      <c r="D1" s="12"/>
      <c r="E1" s="12"/>
      <c r="F1" s="12"/>
      <c r="G1" s="12"/>
      <c r="H1" s="12"/>
      <c r="I1" s="12"/>
      <c r="J1" s="12"/>
      <c r="K1" s="12"/>
      <c r="L1" s="12"/>
      <c r="M1" s="12"/>
      <c r="N1" s="12"/>
    </row>
    <row r="2" spans="1:14" ht="39.950000000000003" customHeight="1">
      <c r="A2" s="13" t="s">
        <v>35</v>
      </c>
      <c r="B2" s="13"/>
      <c r="C2" s="13"/>
      <c r="D2" s="13"/>
      <c r="E2" s="13"/>
      <c r="F2" s="13"/>
      <c r="G2" s="13"/>
      <c r="H2" s="13"/>
      <c r="I2" s="13"/>
      <c r="J2" s="13"/>
      <c r="K2" s="13"/>
      <c r="L2" s="13"/>
      <c r="M2" s="13"/>
      <c r="N2" s="13"/>
    </row>
    <row r="4" spans="1:14" ht="15" customHeight="1">
      <c r="A4" s="1" t="s">
        <v>36</v>
      </c>
      <c r="B4" s="1" t="s">
        <v>37</v>
      </c>
      <c r="C4" s="1" t="s">
        <v>38</v>
      </c>
      <c r="D4" s="1" t="s">
        <v>39</v>
      </c>
      <c r="E4" s="1" t="s">
        <v>40</v>
      </c>
      <c r="F4" s="1" t="s">
        <v>41</v>
      </c>
      <c r="G4" s="1" t="s">
        <v>42</v>
      </c>
      <c r="H4" s="1" t="s">
        <v>43</v>
      </c>
    </row>
    <row r="5" spans="1:14" ht="41.25" customHeight="1">
      <c r="A5" s="6" t="s">
        <v>30</v>
      </c>
      <c r="B5" s="6" t="s">
        <v>44</v>
      </c>
      <c r="C5" s="7">
        <f>IF(COUNTIF('EQ1 Requirements'!I4:I45,"Yes")+COUNTIF('EQ1 Requirements'!I4:I45,"No")=42,COUNTIF('EQ1 Requirements'!I4:I45,"Yes")/42,"")</f>
        <v>0.97619047619047616</v>
      </c>
      <c r="D5" s="7">
        <f>IF(COUNTIF('EQ1 Requirements'!M4:M45,"Yes")+COUNTIF('EQ1 Requirements'!M4:M45,"No")=42,COUNTIF('EQ1 Requirements'!M4:M45,"Yes")/42,"")</f>
        <v>1</v>
      </c>
      <c r="E5" s="7">
        <f>IF(AND(ISNUMBER(C5),ISNUMBER(D5)),(COUNTIF('EQ1 Requirements'!I4:I45,"Yes")+COUNTIF('EQ1 Requirements'!M4:M45,"Yes"))/84,"")</f>
        <v>0.98809523809523814</v>
      </c>
      <c r="F5" s="6">
        <f>COUNTIF('EQ1 Requirements'!I4:I45,"Yes")+COUNTIF('EQ1 Requirements'!I4:I45,"No")+COUNTIF('EQ1 Requirements'!M4:M45,"Yes")+COUNTIF('EQ1 Requirements'!M4:M45,"No")</f>
        <v>84</v>
      </c>
      <c r="G5" s="6">
        <v>84</v>
      </c>
      <c r="H5" s="6" t="s">
        <v>45</v>
      </c>
    </row>
    <row r="6" spans="1:14" ht="41.25" customHeight="1">
      <c r="A6" s="6" t="s">
        <v>32</v>
      </c>
      <c r="B6" s="6" t="s">
        <v>46</v>
      </c>
      <c r="C6" s="7">
        <f>IF(COUNTIF('EQ2 Configuration'!I4:I12,"Yes")+COUNTIF('EQ2 Configuration'!I4:I12,"No")=9,COUNTIF('EQ2 Configuration'!I4:I12,"Yes")/9,"")</f>
        <v>1</v>
      </c>
      <c r="D6" s="7">
        <f>IF(COUNTIF('EQ2 Configuration'!M4:M12,"Yes")+COUNTIF('EQ2 Configuration'!M4:M12,"No")=9,COUNTIF('EQ2 Configuration'!M4:M12,"Yes")/9,"")</f>
        <v>1</v>
      </c>
      <c r="E6" s="7">
        <f>IF(AND(ISNUMBER(C6),ISNUMBER(D6)),(COUNTIF('EQ2 Configuration'!I4:I12,"Yes")+COUNTIF('EQ2 Configuration'!M4:M12,"Yes"))/18,"")</f>
        <v>1</v>
      </c>
      <c r="F6" s="6">
        <f>COUNTIF('EQ2 Configuration'!I4:I12,"Yes")+COUNTIF('EQ2 Configuration'!I4:I12,"No")+COUNTIF('EQ2 Configuration'!M4:M12,"Yes")+COUNTIF('EQ2 Configuration'!M4:M12,"No")</f>
        <v>18</v>
      </c>
      <c r="G6" s="6">
        <v>18</v>
      </c>
      <c r="H6" s="6" t="s">
        <v>47</v>
      </c>
    </row>
    <row r="7" spans="1:14" ht="15" customHeight="1">
      <c r="A7" s="6" t="s">
        <v>48</v>
      </c>
      <c r="B7" s="6" t="s">
        <v>49</v>
      </c>
      <c r="C7" s="7">
        <f>IF(COUNTIF('EQ3 Package'!I4:I11,"Yes")+COUNTIF('EQ3 Package'!I4:I11,"No")=8,IF(COUNTIF('EQ3 Package'!I4:I11,"No")=0,1,0),"")</f>
        <v>1</v>
      </c>
      <c r="D7" s="7">
        <f>IF(COUNTIF('EQ3 Package'!M4:M11,"Yes")+COUNTIF('EQ3 Package'!M4:M11,"No")=8,IF(COUNTIF('EQ3 Package'!M4:M11,"No")=0,1,0),"")</f>
        <v>1</v>
      </c>
      <c r="E7" s="7">
        <f>IF(AND(ISNUMBER(C7),ISNUMBER(D7)),AVERAGE(C7:D7),"")</f>
        <v>1</v>
      </c>
      <c r="F7" s="6">
        <f>COUNTIF('EQ3 Package'!I4:I11,"Yes")+COUNTIF('EQ3 Package'!I4:I11,"No")+COUNTIF('EQ3 Package'!M4:M11,"Yes")+COUNTIF('EQ3 Package'!M4:M11,"No")</f>
        <v>16</v>
      </c>
      <c r="G7" s="6">
        <v>16</v>
      </c>
      <c r="H7" s="6" t="s">
        <v>50</v>
      </c>
    </row>
    <row r="8" spans="1:14" ht="15" customHeight="1">
      <c r="A8" s="6" t="s">
        <v>51</v>
      </c>
      <c r="B8" s="6" t="s">
        <v>52</v>
      </c>
      <c r="C8" s="7">
        <f>IF(COUNTIF('EQ4 Execution'!I4:I7,"Yes")+COUNTIF('EQ4 Execution'!I4:I7,"No")=4,IF(COUNTIF('EQ4 Execution'!I4:I7,"No")=0,1,0),"")</f>
        <v>1</v>
      </c>
      <c r="D8" s="7">
        <f>IF(COUNTIF('EQ4 Execution'!M4:M7,"Yes")+COUNTIF('EQ4 Execution'!M4:M7,"No")=4,IF(COUNTIF('EQ4 Execution'!M4:M7,"No")=0,1,0),"")</f>
        <v>1</v>
      </c>
      <c r="E8" s="7">
        <f>IF(AND(ISNUMBER(C8),ISNUMBER(D8)),AVERAGE(C8:D8),"")</f>
        <v>1</v>
      </c>
      <c r="F8" s="6">
        <f>COUNTIF('EQ4 Execution'!I4:I7,"Yes")+COUNTIF('EQ4 Execution'!I4:I7,"No")+COUNTIF('EQ4 Execution'!M4:M7,"Yes")+COUNTIF('EQ4 Execution'!M4:M7,"No")</f>
        <v>8</v>
      </c>
      <c r="G8" s="6">
        <v>8</v>
      </c>
      <c r="H8" s="6" t="s">
        <v>53</v>
      </c>
    </row>
    <row r="10" spans="1:14" ht="15" customHeight="1">
      <c r="A10" s="8" t="s">
        <v>54</v>
      </c>
      <c r="B10" s="8" t="s">
        <v>38</v>
      </c>
      <c r="C10" s="8" t="s">
        <v>39</v>
      </c>
      <c r="D10" s="8" t="s">
        <v>55</v>
      </c>
      <c r="E10" s="8"/>
      <c r="F10" s="8"/>
      <c r="G10" s="8"/>
      <c r="H10" s="8" t="s">
        <v>56</v>
      </c>
    </row>
    <row r="11" spans="1:14" ht="45.75" customHeight="1">
      <c r="A11" s="2" t="s">
        <v>57</v>
      </c>
      <c r="B11" s="2" t="str">
        <f>"Yes: "&amp;COUNTIF('EQ1 Diagnostics'!I4:I6,"Yes")&amp;"; No: "&amp;COUNTIF('EQ1 Diagnostics'!I4:I6,"No")</f>
        <v>Yes: 3; No: 0</v>
      </c>
      <c r="C11" s="2" t="str">
        <f>"Yes: "&amp;COUNTIF('EQ1 Diagnostics'!M4:M6,"Yes")&amp;"; No: "&amp;COUNTIF('EQ1 Diagnostics'!M4:M6,"No")</f>
        <v>Yes: 3; No: 0</v>
      </c>
      <c r="D11" s="2" t="s">
        <v>58</v>
      </c>
      <c r="E11" s="2"/>
      <c r="F11" s="2"/>
      <c r="G11" s="2"/>
      <c r="H11" s="2" t="s">
        <v>59</v>
      </c>
    </row>
    <row r="12" spans="1:14" ht="78.75" customHeight="1">
      <c r="A12" s="2" t="s">
        <v>60</v>
      </c>
      <c r="B12" s="2"/>
      <c r="C12" s="2"/>
      <c r="D12" s="2" t="s">
        <v>61</v>
      </c>
      <c r="E12" s="2"/>
      <c r="F12" s="2"/>
      <c r="G12" s="2"/>
      <c r="H12" s="2" t="s">
        <v>62</v>
      </c>
    </row>
    <row r="13" spans="1:14" ht="81.75" customHeight="1">
      <c r="A13" s="2" t="s">
        <v>63</v>
      </c>
      <c r="B13" s="2"/>
      <c r="C13" s="2"/>
      <c r="D13" s="2" t="s">
        <v>64</v>
      </c>
      <c r="E13" s="2"/>
      <c r="F13" s="2"/>
      <c r="G13" s="2"/>
      <c r="H13" s="2" t="s">
        <v>65</v>
      </c>
    </row>
    <row r="14" spans="1:14" ht="26.45" customHeight="1">
      <c r="A14" s="2" t="s">
        <v>66</v>
      </c>
      <c r="B14" s="2"/>
      <c r="C14" s="2"/>
      <c r="D14" s="2"/>
      <c r="E14" s="2"/>
      <c r="F14" s="2"/>
      <c r="G14" s="2"/>
      <c r="H14" s="2" t="s">
        <v>67</v>
      </c>
    </row>
  </sheetData>
  <mergeCells count="2">
    <mergeCell ref="A1:N1"/>
    <mergeCell ref="A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showGridLines="0" topLeftCell="F1" workbookViewId="0">
      <selection activeCell="H9" sqref="H9"/>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2" t="s">
        <v>68</v>
      </c>
      <c r="B1" s="12"/>
      <c r="C1" s="12"/>
      <c r="D1" s="12"/>
      <c r="E1" s="12"/>
      <c r="F1" s="12"/>
      <c r="G1" s="12"/>
      <c r="H1" s="12"/>
      <c r="I1" s="12"/>
      <c r="J1" s="12"/>
      <c r="K1" s="12"/>
      <c r="L1" s="12"/>
      <c r="M1" s="12"/>
      <c r="N1" s="12"/>
    </row>
    <row r="2" spans="1:14" ht="39.950000000000003" customHeight="1">
      <c r="A2" s="13" t="s">
        <v>69</v>
      </c>
      <c r="B2" s="13"/>
      <c r="C2" s="13"/>
      <c r="D2" s="13"/>
      <c r="E2" s="13"/>
      <c r="F2" s="13"/>
      <c r="G2" s="13"/>
      <c r="H2" s="13"/>
      <c r="I2" s="13"/>
      <c r="J2" s="13"/>
      <c r="K2" s="13"/>
      <c r="L2" s="13"/>
      <c r="M2" s="13"/>
      <c r="N2" s="13"/>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84</v>
      </c>
      <c r="B4" s="3" t="s">
        <v>85</v>
      </c>
      <c r="C4" s="3" t="s">
        <v>86</v>
      </c>
      <c r="D4" s="3" t="s">
        <v>87</v>
      </c>
      <c r="E4" s="3" t="s">
        <v>88</v>
      </c>
      <c r="F4" s="3" t="s">
        <v>89</v>
      </c>
      <c r="G4" s="3" t="s">
        <v>90</v>
      </c>
      <c r="H4" s="4" t="s">
        <v>578</v>
      </c>
      <c r="I4" s="3" t="s">
        <v>84</v>
      </c>
      <c r="J4" s="3" t="s">
        <v>91</v>
      </c>
      <c r="K4" s="3" t="s">
        <v>92</v>
      </c>
      <c r="L4" s="4" t="s">
        <v>578</v>
      </c>
      <c r="M4" s="3" t="s">
        <v>84</v>
      </c>
      <c r="N4" s="3"/>
    </row>
    <row r="5" spans="1:14" ht="26.45" customHeight="1">
      <c r="A5" s="3" t="s">
        <v>84</v>
      </c>
      <c r="B5" s="3" t="s">
        <v>93</v>
      </c>
      <c r="C5" s="3" t="s">
        <v>94</v>
      </c>
      <c r="D5" s="3" t="s">
        <v>95</v>
      </c>
      <c r="E5" s="3" t="s">
        <v>88</v>
      </c>
      <c r="F5" s="3" t="s">
        <v>96</v>
      </c>
      <c r="G5" s="3" t="s">
        <v>97</v>
      </c>
      <c r="H5" s="4" t="s">
        <v>578</v>
      </c>
      <c r="I5" s="3" t="s">
        <v>84</v>
      </c>
      <c r="J5" s="3" t="s">
        <v>98</v>
      </c>
      <c r="K5" s="3" t="s">
        <v>99</v>
      </c>
      <c r="L5" s="4" t="s">
        <v>578</v>
      </c>
      <c r="M5" s="3" t="s">
        <v>84</v>
      </c>
      <c r="N5" s="3"/>
    </row>
    <row r="6" spans="1:14" ht="26.45" customHeight="1">
      <c r="A6" s="3" t="s">
        <v>84</v>
      </c>
      <c r="B6" s="3" t="s">
        <v>100</v>
      </c>
      <c r="C6" s="3" t="s">
        <v>101</v>
      </c>
      <c r="D6" s="3" t="s">
        <v>102</v>
      </c>
      <c r="E6" s="3" t="s">
        <v>88</v>
      </c>
      <c r="F6" s="3" t="s">
        <v>103</v>
      </c>
      <c r="G6" s="3" t="s">
        <v>104</v>
      </c>
      <c r="H6" s="4" t="s">
        <v>578</v>
      </c>
      <c r="I6" s="3" t="s">
        <v>84</v>
      </c>
      <c r="J6" s="3" t="s">
        <v>105</v>
      </c>
      <c r="K6" s="3" t="s">
        <v>106</v>
      </c>
      <c r="L6" s="4" t="s">
        <v>578</v>
      </c>
      <c r="M6" s="3" t="s">
        <v>84</v>
      </c>
      <c r="N6" s="3"/>
    </row>
    <row r="7" spans="1:14" ht="39.6" customHeight="1">
      <c r="A7" s="3" t="s">
        <v>84</v>
      </c>
      <c r="B7" s="3" t="s">
        <v>107</v>
      </c>
      <c r="C7" s="3" t="s">
        <v>108</v>
      </c>
      <c r="D7" s="3" t="s">
        <v>109</v>
      </c>
      <c r="E7" s="3" t="s">
        <v>110</v>
      </c>
      <c r="F7" s="3" t="s">
        <v>111</v>
      </c>
      <c r="G7" s="3" t="s">
        <v>112</v>
      </c>
      <c r="H7" s="4" t="s">
        <v>578</v>
      </c>
      <c r="I7" s="3" t="s">
        <v>84</v>
      </c>
      <c r="J7" s="3" t="s">
        <v>111</v>
      </c>
      <c r="K7" s="3" t="s">
        <v>113</v>
      </c>
      <c r="L7" s="4" t="s">
        <v>578</v>
      </c>
      <c r="M7" s="3" t="s">
        <v>84</v>
      </c>
      <c r="N7" s="3"/>
    </row>
    <row r="8" spans="1:14" ht="33.75" customHeight="1">
      <c r="A8" s="3" t="s">
        <v>84</v>
      </c>
      <c r="B8" s="3" t="s">
        <v>114</v>
      </c>
      <c r="C8" s="3" t="s">
        <v>115</v>
      </c>
      <c r="D8" s="3" t="s">
        <v>116</v>
      </c>
      <c r="E8" s="3" t="s">
        <v>117</v>
      </c>
      <c r="F8" s="3" t="s">
        <v>118</v>
      </c>
      <c r="G8" s="3" t="s">
        <v>119</v>
      </c>
      <c r="H8" s="4" t="s">
        <v>578</v>
      </c>
      <c r="I8" s="3" t="s">
        <v>84</v>
      </c>
      <c r="J8" s="3" t="s">
        <v>120</v>
      </c>
      <c r="K8" s="3" t="s">
        <v>121</v>
      </c>
      <c r="L8" s="4" t="s">
        <v>578</v>
      </c>
      <c r="M8" s="3" t="s">
        <v>84</v>
      </c>
      <c r="N8" s="3"/>
    </row>
    <row r="9" spans="1:14" ht="26.45" customHeight="1">
      <c r="A9" s="3" t="s">
        <v>84</v>
      </c>
      <c r="B9" s="3" t="s">
        <v>122</v>
      </c>
      <c r="C9" s="3" t="s">
        <v>123</v>
      </c>
      <c r="D9" s="3" t="s">
        <v>124</v>
      </c>
      <c r="E9" s="3" t="s">
        <v>125</v>
      </c>
      <c r="F9" s="3" t="s">
        <v>126</v>
      </c>
      <c r="G9" s="3" t="s">
        <v>127</v>
      </c>
      <c r="H9" s="4" t="s">
        <v>578</v>
      </c>
      <c r="I9" s="3" t="s">
        <v>84</v>
      </c>
      <c r="J9" s="3" t="s">
        <v>128</v>
      </c>
      <c r="K9" s="3" t="s">
        <v>129</v>
      </c>
      <c r="L9" s="4" t="s">
        <v>578</v>
      </c>
      <c r="M9" s="3" t="s">
        <v>84</v>
      </c>
      <c r="N9" s="3"/>
    </row>
    <row r="10" spans="1:14" ht="26.45" customHeight="1">
      <c r="A10" s="3" t="s">
        <v>84</v>
      </c>
      <c r="B10" s="3" t="s">
        <v>130</v>
      </c>
      <c r="C10" s="3" t="s">
        <v>131</v>
      </c>
      <c r="D10" s="3" t="s">
        <v>132</v>
      </c>
      <c r="E10" s="3" t="s">
        <v>125</v>
      </c>
      <c r="F10" s="3" t="s">
        <v>133</v>
      </c>
      <c r="G10" s="3" t="s">
        <v>134</v>
      </c>
      <c r="H10" s="4" t="s">
        <v>578</v>
      </c>
      <c r="I10" s="3" t="s">
        <v>84</v>
      </c>
      <c r="J10" s="3" t="s">
        <v>133</v>
      </c>
      <c r="K10" s="3" t="s">
        <v>135</v>
      </c>
      <c r="L10" s="4" t="s">
        <v>578</v>
      </c>
      <c r="M10" s="3" t="s">
        <v>84</v>
      </c>
      <c r="N10" s="3"/>
    </row>
    <row r="11" spans="1:14" ht="101.25" customHeight="1">
      <c r="A11" s="3" t="s">
        <v>84</v>
      </c>
      <c r="B11" s="3" t="s">
        <v>136</v>
      </c>
      <c r="C11" s="3" t="s">
        <v>137</v>
      </c>
      <c r="D11" s="3" t="s">
        <v>138</v>
      </c>
      <c r="E11" s="3" t="s">
        <v>139</v>
      </c>
      <c r="F11" s="3" t="s">
        <v>140</v>
      </c>
      <c r="G11" s="3" t="s">
        <v>141</v>
      </c>
      <c r="H11" s="4" t="s">
        <v>578</v>
      </c>
      <c r="I11" s="3" t="s">
        <v>84</v>
      </c>
      <c r="J11" s="3" t="s">
        <v>140</v>
      </c>
      <c r="K11" s="3" t="s">
        <v>142</v>
      </c>
      <c r="L11" s="4" t="s">
        <v>578</v>
      </c>
      <c r="M11" s="3" t="s">
        <v>84</v>
      </c>
      <c r="N11" s="3" t="s">
        <v>570</v>
      </c>
    </row>
    <row r="12" spans="1:14" ht="39.6" customHeight="1">
      <c r="A12" s="3" t="s">
        <v>84</v>
      </c>
      <c r="B12" s="3" t="s">
        <v>143</v>
      </c>
      <c r="C12" s="3" t="s">
        <v>144</v>
      </c>
      <c r="D12" s="3" t="s">
        <v>145</v>
      </c>
      <c r="E12" s="3" t="s">
        <v>146</v>
      </c>
      <c r="F12" s="3" t="s">
        <v>147</v>
      </c>
      <c r="G12" s="3" t="s">
        <v>148</v>
      </c>
      <c r="H12" s="4" t="s">
        <v>578</v>
      </c>
      <c r="I12" s="3" t="s">
        <v>84</v>
      </c>
      <c r="J12" s="3" t="s">
        <v>147</v>
      </c>
      <c r="K12" s="3" t="s">
        <v>149</v>
      </c>
      <c r="L12" s="4" t="s">
        <v>578</v>
      </c>
      <c r="M12" s="3" t="s">
        <v>84</v>
      </c>
      <c r="N12" s="3"/>
    </row>
    <row r="13" spans="1:14" ht="15" customHeight="1">
      <c r="A13" s="3" t="s">
        <v>84</v>
      </c>
      <c r="B13" s="3" t="s">
        <v>150</v>
      </c>
      <c r="C13" s="3" t="s">
        <v>151</v>
      </c>
      <c r="D13" s="3" t="s">
        <v>152</v>
      </c>
      <c r="E13" s="3" t="s">
        <v>153</v>
      </c>
      <c r="F13" s="3" t="s">
        <v>152</v>
      </c>
      <c r="G13" s="3" t="s">
        <v>154</v>
      </c>
      <c r="H13" s="4" t="s">
        <v>578</v>
      </c>
      <c r="I13" s="3" t="s">
        <v>84</v>
      </c>
      <c r="J13" s="3" t="s">
        <v>152</v>
      </c>
      <c r="K13" s="3" t="s">
        <v>155</v>
      </c>
      <c r="L13" s="4" t="s">
        <v>578</v>
      </c>
      <c r="M13" s="3" t="s">
        <v>84</v>
      </c>
      <c r="N13" s="3"/>
    </row>
    <row r="14" spans="1:14" ht="15" customHeight="1">
      <c r="A14" s="3" t="s">
        <v>84</v>
      </c>
      <c r="B14" s="3" t="s">
        <v>156</v>
      </c>
      <c r="C14" s="3" t="s">
        <v>157</v>
      </c>
      <c r="D14" s="3" t="s">
        <v>158</v>
      </c>
      <c r="E14" s="3" t="s">
        <v>153</v>
      </c>
      <c r="F14" s="3" t="s">
        <v>158</v>
      </c>
      <c r="G14" s="3" t="s">
        <v>159</v>
      </c>
      <c r="H14" s="4" t="s">
        <v>578</v>
      </c>
      <c r="I14" s="3" t="s">
        <v>84</v>
      </c>
      <c r="J14" s="3" t="s">
        <v>158</v>
      </c>
      <c r="K14" s="3" t="s">
        <v>160</v>
      </c>
      <c r="L14" s="4" t="s">
        <v>578</v>
      </c>
      <c r="M14" s="3" t="s">
        <v>84</v>
      </c>
      <c r="N14" s="3"/>
    </row>
    <row r="15" spans="1:14" ht="26.45" customHeight="1">
      <c r="A15" s="3" t="s">
        <v>84</v>
      </c>
      <c r="B15" s="3" t="s">
        <v>161</v>
      </c>
      <c r="C15" s="3" t="s">
        <v>162</v>
      </c>
      <c r="D15" s="3" t="s">
        <v>163</v>
      </c>
      <c r="E15" s="3" t="s">
        <v>164</v>
      </c>
      <c r="F15" s="3" t="s">
        <v>163</v>
      </c>
      <c r="G15" s="3" t="s">
        <v>165</v>
      </c>
      <c r="H15" s="4" t="s">
        <v>578</v>
      </c>
      <c r="I15" s="3" t="s">
        <v>84</v>
      </c>
      <c r="J15" s="3" t="s">
        <v>166</v>
      </c>
      <c r="K15" s="3" t="s">
        <v>167</v>
      </c>
      <c r="L15" s="4" t="s">
        <v>578</v>
      </c>
      <c r="M15" s="3" t="s">
        <v>84</v>
      </c>
      <c r="N15" s="3"/>
    </row>
    <row r="16" spans="1:14" ht="26.45" customHeight="1">
      <c r="A16" s="3" t="s">
        <v>84</v>
      </c>
      <c r="B16" s="3" t="s">
        <v>168</v>
      </c>
      <c r="C16" s="3" t="s">
        <v>169</v>
      </c>
      <c r="D16" s="3" t="s">
        <v>170</v>
      </c>
      <c r="E16" s="3" t="s">
        <v>164</v>
      </c>
      <c r="F16" s="3" t="s">
        <v>170</v>
      </c>
      <c r="G16" s="3" t="s">
        <v>171</v>
      </c>
      <c r="H16" s="4" t="s">
        <v>578</v>
      </c>
      <c r="I16" s="3" t="s">
        <v>84</v>
      </c>
      <c r="J16" s="3" t="s">
        <v>172</v>
      </c>
      <c r="K16" s="3" t="s">
        <v>173</v>
      </c>
      <c r="L16" s="4" t="s">
        <v>578</v>
      </c>
      <c r="M16" s="3" t="s">
        <v>84</v>
      </c>
      <c r="N16" s="3"/>
    </row>
    <row r="17" spans="1:14" ht="26.45" customHeight="1">
      <c r="A17" s="3" t="s">
        <v>84</v>
      </c>
      <c r="B17" s="3" t="s">
        <v>174</v>
      </c>
      <c r="C17" s="3" t="s">
        <v>175</v>
      </c>
      <c r="D17" s="3" t="s">
        <v>176</v>
      </c>
      <c r="E17" s="3" t="s">
        <v>164</v>
      </c>
      <c r="F17" s="3" t="s">
        <v>176</v>
      </c>
      <c r="G17" s="3" t="s">
        <v>177</v>
      </c>
      <c r="H17" s="4" t="s">
        <v>578</v>
      </c>
      <c r="I17" s="3" t="s">
        <v>84</v>
      </c>
      <c r="J17" s="3" t="s">
        <v>178</v>
      </c>
      <c r="K17" s="3" t="s">
        <v>179</v>
      </c>
      <c r="L17" s="4" t="s">
        <v>578</v>
      </c>
      <c r="M17" s="3" t="s">
        <v>84</v>
      </c>
      <c r="N17" s="3"/>
    </row>
    <row r="18" spans="1:14" ht="45" customHeight="1">
      <c r="A18" s="3" t="s">
        <v>84</v>
      </c>
      <c r="B18" s="3" t="s">
        <v>180</v>
      </c>
      <c r="C18" s="3" t="s">
        <v>181</v>
      </c>
      <c r="D18" s="3" t="s">
        <v>182</v>
      </c>
      <c r="E18" s="3" t="s">
        <v>153</v>
      </c>
      <c r="F18" s="3" t="s">
        <v>183</v>
      </c>
      <c r="G18" s="3" t="s">
        <v>184</v>
      </c>
      <c r="H18" s="4" t="s">
        <v>578</v>
      </c>
      <c r="I18" s="3" t="s">
        <v>84</v>
      </c>
      <c r="J18" s="3" t="s">
        <v>183</v>
      </c>
      <c r="K18" s="3" t="s">
        <v>185</v>
      </c>
      <c r="L18" s="4" t="s">
        <v>578</v>
      </c>
      <c r="M18" s="3" t="s">
        <v>84</v>
      </c>
      <c r="N18" s="3"/>
    </row>
    <row r="19" spans="1:14" ht="15" customHeight="1">
      <c r="A19" s="3" t="s">
        <v>84</v>
      </c>
      <c r="B19" s="3" t="s">
        <v>186</v>
      </c>
      <c r="C19" s="3" t="s">
        <v>187</v>
      </c>
      <c r="D19" s="3" t="s">
        <v>188</v>
      </c>
      <c r="E19" s="3" t="s">
        <v>153</v>
      </c>
      <c r="F19" s="3" t="s">
        <v>188</v>
      </c>
      <c r="G19" s="3" t="s">
        <v>189</v>
      </c>
      <c r="H19" s="4" t="s">
        <v>578</v>
      </c>
      <c r="I19" s="3" t="s">
        <v>84</v>
      </c>
      <c r="J19" s="3" t="s">
        <v>188</v>
      </c>
      <c r="K19" s="3" t="s">
        <v>190</v>
      </c>
      <c r="L19" s="4" t="s">
        <v>578</v>
      </c>
      <c r="M19" s="3" t="s">
        <v>84</v>
      </c>
      <c r="N19" s="3"/>
    </row>
    <row r="20" spans="1:14" ht="57" customHeight="1">
      <c r="A20" s="3" t="s">
        <v>84</v>
      </c>
      <c r="B20" s="3" t="s">
        <v>191</v>
      </c>
      <c r="C20" s="3" t="s">
        <v>192</v>
      </c>
      <c r="D20" s="3" t="s">
        <v>193</v>
      </c>
      <c r="E20" s="3" t="s">
        <v>194</v>
      </c>
      <c r="F20" s="3" t="s">
        <v>195</v>
      </c>
      <c r="G20" s="3" t="s">
        <v>196</v>
      </c>
      <c r="H20" s="4" t="s">
        <v>578</v>
      </c>
      <c r="I20" s="3" t="s">
        <v>84</v>
      </c>
      <c r="J20" s="3" t="s">
        <v>197</v>
      </c>
      <c r="K20" s="3" t="s">
        <v>198</v>
      </c>
      <c r="L20" s="4" t="s">
        <v>578</v>
      </c>
      <c r="M20" s="3" t="s">
        <v>84</v>
      </c>
      <c r="N20" s="3"/>
    </row>
    <row r="21" spans="1:14" ht="62.25" customHeight="1">
      <c r="A21" s="3" t="s">
        <v>84</v>
      </c>
      <c r="B21" s="3" t="s">
        <v>199</v>
      </c>
      <c r="C21" s="3" t="s">
        <v>200</v>
      </c>
      <c r="D21" s="3" t="s">
        <v>201</v>
      </c>
      <c r="E21" s="3" t="s">
        <v>202</v>
      </c>
      <c r="F21" s="3" t="s">
        <v>203</v>
      </c>
      <c r="G21" s="3" t="s">
        <v>204</v>
      </c>
      <c r="H21" s="4" t="s">
        <v>578</v>
      </c>
      <c r="I21" s="3" t="s">
        <v>84</v>
      </c>
      <c r="J21" s="3" t="s">
        <v>205</v>
      </c>
      <c r="K21" s="3" t="s">
        <v>206</v>
      </c>
      <c r="L21" s="4" t="s">
        <v>578</v>
      </c>
      <c r="M21" s="3" t="s">
        <v>84</v>
      </c>
      <c r="N21" s="3"/>
    </row>
    <row r="22" spans="1:14" ht="45.75" customHeight="1">
      <c r="A22" s="3" t="s">
        <v>84</v>
      </c>
      <c r="B22" s="3" t="s">
        <v>207</v>
      </c>
      <c r="C22" s="3" t="s">
        <v>208</v>
      </c>
      <c r="D22" s="3" t="s">
        <v>571</v>
      </c>
      <c r="E22" s="3" t="s">
        <v>202</v>
      </c>
      <c r="F22" s="3" t="s">
        <v>209</v>
      </c>
      <c r="G22" s="3" t="s">
        <v>210</v>
      </c>
      <c r="H22" s="4" t="s">
        <v>578</v>
      </c>
      <c r="I22" s="3" t="s">
        <v>84</v>
      </c>
      <c r="J22" s="3" t="s">
        <v>211</v>
      </c>
      <c r="K22" s="3" t="s">
        <v>212</v>
      </c>
      <c r="L22" s="4" t="s">
        <v>578</v>
      </c>
      <c r="M22" s="3" t="s">
        <v>84</v>
      </c>
      <c r="N22" s="3"/>
    </row>
    <row r="23" spans="1:14" ht="57.75" customHeight="1">
      <c r="A23" s="3" t="s">
        <v>84</v>
      </c>
      <c r="B23" s="3" t="s">
        <v>213</v>
      </c>
      <c r="C23" s="3" t="s">
        <v>214</v>
      </c>
      <c r="D23" s="3" t="s">
        <v>215</v>
      </c>
      <c r="E23" s="3" t="s">
        <v>216</v>
      </c>
      <c r="F23" s="3" t="s">
        <v>217</v>
      </c>
      <c r="G23" s="3" t="s">
        <v>218</v>
      </c>
      <c r="H23" s="4" t="s">
        <v>578</v>
      </c>
      <c r="I23" s="3" t="s">
        <v>84</v>
      </c>
      <c r="J23" s="3" t="s">
        <v>219</v>
      </c>
      <c r="K23" s="3" t="s">
        <v>220</v>
      </c>
      <c r="L23" s="4" t="s">
        <v>578</v>
      </c>
      <c r="M23" s="3" t="s">
        <v>84</v>
      </c>
      <c r="N23" s="3"/>
    </row>
    <row r="24" spans="1:14" ht="30.75" customHeight="1">
      <c r="A24" s="3" t="s">
        <v>84</v>
      </c>
      <c r="B24" s="3" t="s">
        <v>221</v>
      </c>
      <c r="C24" s="3" t="s">
        <v>222</v>
      </c>
      <c r="D24" s="3" t="s">
        <v>223</v>
      </c>
      <c r="E24" s="3" t="s">
        <v>224</v>
      </c>
      <c r="F24" s="3" t="s">
        <v>225</v>
      </c>
      <c r="G24" s="3" t="s">
        <v>226</v>
      </c>
      <c r="H24" s="4" t="s">
        <v>578</v>
      </c>
      <c r="I24" s="3" t="s">
        <v>84</v>
      </c>
      <c r="J24" s="3" t="s">
        <v>225</v>
      </c>
      <c r="K24" s="3" t="s">
        <v>227</v>
      </c>
      <c r="L24" s="4" t="s">
        <v>578</v>
      </c>
      <c r="M24" s="3" t="s">
        <v>84</v>
      </c>
      <c r="N24" s="3"/>
    </row>
    <row r="25" spans="1:14" ht="63.75" customHeight="1">
      <c r="A25" s="3" t="s">
        <v>84</v>
      </c>
      <c r="B25" s="3" t="s">
        <v>228</v>
      </c>
      <c r="C25" s="3" t="s">
        <v>229</v>
      </c>
      <c r="D25" s="3" t="s">
        <v>230</v>
      </c>
      <c r="E25" s="3" t="s">
        <v>216</v>
      </c>
      <c r="F25" s="3" t="s">
        <v>231</v>
      </c>
      <c r="G25" s="3" t="s">
        <v>232</v>
      </c>
      <c r="H25" s="4" t="s">
        <v>578</v>
      </c>
      <c r="I25" s="3" t="s">
        <v>84</v>
      </c>
      <c r="J25" s="3" t="s">
        <v>233</v>
      </c>
      <c r="K25" s="3" t="s">
        <v>234</v>
      </c>
      <c r="L25" s="4" t="s">
        <v>578</v>
      </c>
      <c r="M25" s="3" t="s">
        <v>84</v>
      </c>
      <c r="N25" s="3"/>
    </row>
    <row r="26" spans="1:14" ht="26.45" customHeight="1">
      <c r="A26" s="3" t="s">
        <v>84</v>
      </c>
      <c r="B26" s="3" t="s">
        <v>235</v>
      </c>
      <c r="C26" s="3" t="s">
        <v>236</v>
      </c>
      <c r="D26" s="3" t="s">
        <v>237</v>
      </c>
      <c r="E26" s="3" t="s">
        <v>238</v>
      </c>
      <c r="F26" s="3" t="s">
        <v>239</v>
      </c>
      <c r="G26" s="3" t="s">
        <v>240</v>
      </c>
      <c r="H26" s="4" t="s">
        <v>578</v>
      </c>
      <c r="I26" s="3" t="s">
        <v>84</v>
      </c>
      <c r="J26" s="3" t="s">
        <v>241</v>
      </c>
      <c r="K26" s="3" t="s">
        <v>242</v>
      </c>
      <c r="L26" s="4" t="s">
        <v>578</v>
      </c>
      <c r="M26" s="3" t="s">
        <v>84</v>
      </c>
      <c r="N26" s="3"/>
    </row>
    <row r="27" spans="1:14" ht="15" customHeight="1">
      <c r="A27" s="3" t="s">
        <v>84</v>
      </c>
      <c r="B27" s="3" t="s">
        <v>243</v>
      </c>
      <c r="C27" s="3" t="s">
        <v>244</v>
      </c>
      <c r="D27" s="3" t="s">
        <v>245</v>
      </c>
      <c r="E27" s="3" t="s">
        <v>238</v>
      </c>
      <c r="F27" s="3" t="s">
        <v>246</v>
      </c>
      <c r="G27" s="3" t="s">
        <v>247</v>
      </c>
      <c r="H27" s="4" t="s">
        <v>578</v>
      </c>
      <c r="I27" s="3" t="s">
        <v>84</v>
      </c>
      <c r="J27" s="3" t="s">
        <v>246</v>
      </c>
      <c r="K27" s="3" t="s">
        <v>248</v>
      </c>
      <c r="L27" s="4" t="s">
        <v>578</v>
      </c>
      <c r="M27" s="3" t="s">
        <v>84</v>
      </c>
      <c r="N27" s="3"/>
    </row>
    <row r="28" spans="1:14" ht="26.45" customHeight="1">
      <c r="A28" s="3" t="s">
        <v>84</v>
      </c>
      <c r="B28" s="3" t="s">
        <v>249</v>
      </c>
      <c r="C28" s="3" t="s">
        <v>250</v>
      </c>
      <c r="D28" s="3" t="s">
        <v>251</v>
      </c>
      <c r="E28" s="3" t="s">
        <v>238</v>
      </c>
      <c r="F28" s="3" t="s">
        <v>252</v>
      </c>
      <c r="G28" s="3" t="s">
        <v>253</v>
      </c>
      <c r="H28" s="4" t="s">
        <v>578</v>
      </c>
      <c r="I28" s="3" t="s">
        <v>84</v>
      </c>
      <c r="J28" s="3" t="s">
        <v>252</v>
      </c>
      <c r="K28" s="3" t="s">
        <v>254</v>
      </c>
      <c r="L28" s="4" t="s">
        <v>578</v>
      </c>
      <c r="M28" s="3" t="s">
        <v>84</v>
      </c>
      <c r="N28" s="3"/>
    </row>
    <row r="29" spans="1:14" ht="39.6" customHeight="1">
      <c r="A29" s="3" t="s">
        <v>84</v>
      </c>
      <c r="B29" s="3" t="s">
        <v>255</v>
      </c>
      <c r="C29" s="3" t="s">
        <v>256</v>
      </c>
      <c r="D29" s="3" t="s">
        <v>257</v>
      </c>
      <c r="E29" s="3" t="s">
        <v>238</v>
      </c>
      <c r="F29" s="3" t="s">
        <v>258</v>
      </c>
      <c r="G29" s="3" t="s">
        <v>259</v>
      </c>
      <c r="H29" s="4" t="s">
        <v>578</v>
      </c>
      <c r="I29" s="3" t="s">
        <v>84</v>
      </c>
      <c r="J29" s="3" t="s">
        <v>260</v>
      </c>
      <c r="K29" s="3" t="s">
        <v>261</v>
      </c>
      <c r="L29" s="4" t="s">
        <v>578</v>
      </c>
      <c r="M29" s="3" t="s">
        <v>84</v>
      </c>
      <c r="N29" s="3"/>
    </row>
    <row r="30" spans="1:14" ht="46.5" customHeight="1">
      <c r="A30" s="3" t="s">
        <v>84</v>
      </c>
      <c r="B30" s="3" t="s">
        <v>262</v>
      </c>
      <c r="C30" s="3" t="s">
        <v>263</v>
      </c>
      <c r="D30" s="3" t="s">
        <v>264</v>
      </c>
      <c r="E30" s="3" t="s">
        <v>265</v>
      </c>
      <c r="F30" s="3" t="s">
        <v>140</v>
      </c>
      <c r="G30" s="3" t="s">
        <v>266</v>
      </c>
      <c r="H30" s="4" t="s">
        <v>578</v>
      </c>
      <c r="I30" s="3" t="s">
        <v>380</v>
      </c>
      <c r="J30" s="3" t="s">
        <v>267</v>
      </c>
      <c r="K30" s="3" t="s">
        <v>268</v>
      </c>
      <c r="L30" s="4" t="s">
        <v>578</v>
      </c>
      <c r="M30" s="3" t="s">
        <v>84</v>
      </c>
      <c r="N30" s="3" t="s">
        <v>572</v>
      </c>
    </row>
    <row r="31" spans="1:14" ht="52.7" customHeight="1">
      <c r="A31" s="3" t="s">
        <v>84</v>
      </c>
      <c r="B31" s="3" t="s">
        <v>269</v>
      </c>
      <c r="C31" s="3" t="s">
        <v>270</v>
      </c>
      <c r="D31" s="3" t="s">
        <v>271</v>
      </c>
      <c r="E31" s="3" t="s">
        <v>272</v>
      </c>
      <c r="F31" s="3" t="s">
        <v>273</v>
      </c>
      <c r="G31" s="3" t="s">
        <v>274</v>
      </c>
      <c r="H31" s="4" t="s">
        <v>578</v>
      </c>
      <c r="I31" s="3" t="s">
        <v>84</v>
      </c>
      <c r="J31" s="3" t="s">
        <v>275</v>
      </c>
      <c r="K31" s="3" t="s">
        <v>276</v>
      </c>
      <c r="L31" s="4" t="s">
        <v>578</v>
      </c>
      <c r="M31" s="3" t="s">
        <v>84</v>
      </c>
      <c r="N31" s="3"/>
    </row>
    <row r="32" spans="1:14" ht="99" customHeight="1">
      <c r="A32" s="3" t="s">
        <v>84</v>
      </c>
      <c r="B32" s="3" t="s">
        <v>277</v>
      </c>
      <c r="C32" s="3" t="s">
        <v>278</v>
      </c>
      <c r="D32" s="3" t="s">
        <v>279</v>
      </c>
      <c r="E32" s="3" t="s">
        <v>280</v>
      </c>
      <c r="F32" s="3" t="s">
        <v>281</v>
      </c>
      <c r="G32" s="3" t="s">
        <v>282</v>
      </c>
      <c r="H32" s="4" t="s">
        <v>578</v>
      </c>
      <c r="I32" s="3" t="s">
        <v>84</v>
      </c>
      <c r="J32" s="3" t="s">
        <v>283</v>
      </c>
      <c r="K32" s="3" t="s">
        <v>284</v>
      </c>
      <c r="L32" s="4" t="s">
        <v>578</v>
      </c>
      <c r="M32" s="3" t="s">
        <v>84</v>
      </c>
      <c r="N32" s="3"/>
    </row>
    <row r="33" spans="1:14" ht="67.5" customHeight="1">
      <c r="A33" s="3" t="s">
        <v>84</v>
      </c>
      <c r="B33" s="3" t="s">
        <v>285</v>
      </c>
      <c r="C33" s="3" t="s">
        <v>286</v>
      </c>
      <c r="D33" s="3" t="s">
        <v>287</v>
      </c>
      <c r="E33" s="3" t="s">
        <v>288</v>
      </c>
      <c r="F33" s="3" t="s">
        <v>289</v>
      </c>
      <c r="G33" s="3" t="s">
        <v>290</v>
      </c>
      <c r="H33" s="4" t="s">
        <v>578</v>
      </c>
      <c r="I33" s="3" t="s">
        <v>84</v>
      </c>
      <c r="J33" s="3" t="s">
        <v>291</v>
      </c>
      <c r="K33" s="3" t="s">
        <v>292</v>
      </c>
      <c r="L33" s="4" t="s">
        <v>578</v>
      </c>
      <c r="M33" s="3" t="s">
        <v>84</v>
      </c>
      <c r="N33" s="3"/>
    </row>
    <row r="34" spans="1:14" ht="74.25" customHeight="1">
      <c r="A34" s="3" t="s">
        <v>84</v>
      </c>
      <c r="B34" s="3" t="s">
        <v>293</v>
      </c>
      <c r="C34" s="3" t="s">
        <v>294</v>
      </c>
      <c r="D34" s="3" t="s">
        <v>295</v>
      </c>
      <c r="E34" s="3" t="s">
        <v>139</v>
      </c>
      <c r="F34" s="3" t="s">
        <v>296</v>
      </c>
      <c r="G34" s="3" t="s">
        <v>297</v>
      </c>
      <c r="H34" s="4" t="s">
        <v>578</v>
      </c>
      <c r="I34" s="3" t="s">
        <v>84</v>
      </c>
      <c r="J34" s="3" t="s">
        <v>298</v>
      </c>
      <c r="K34" s="3" t="s">
        <v>299</v>
      </c>
      <c r="L34" s="4" t="s">
        <v>578</v>
      </c>
      <c r="M34" s="3" t="s">
        <v>84</v>
      </c>
      <c r="N34" s="3"/>
    </row>
    <row r="35" spans="1:14" ht="77.25" customHeight="1">
      <c r="A35" s="3" t="s">
        <v>84</v>
      </c>
      <c r="B35" s="3" t="s">
        <v>300</v>
      </c>
      <c r="C35" s="3" t="s">
        <v>301</v>
      </c>
      <c r="D35" s="3" t="s">
        <v>302</v>
      </c>
      <c r="E35" s="3" t="s">
        <v>303</v>
      </c>
      <c r="F35" s="3" t="s">
        <v>304</v>
      </c>
      <c r="G35" s="3" t="s">
        <v>305</v>
      </c>
      <c r="H35" s="4" t="s">
        <v>578</v>
      </c>
      <c r="I35" s="3" t="s">
        <v>84</v>
      </c>
      <c r="J35" s="3" t="s">
        <v>306</v>
      </c>
      <c r="K35" s="3" t="s">
        <v>307</v>
      </c>
      <c r="L35" s="4" t="s">
        <v>578</v>
      </c>
      <c r="M35" s="3" t="s">
        <v>84</v>
      </c>
      <c r="N35" s="3"/>
    </row>
    <row r="36" spans="1:14" ht="62.25" customHeight="1">
      <c r="A36" s="3" t="s">
        <v>84</v>
      </c>
      <c r="B36" s="3" t="s">
        <v>308</v>
      </c>
      <c r="C36" s="3" t="s">
        <v>309</v>
      </c>
      <c r="D36" s="3" t="s">
        <v>569</v>
      </c>
      <c r="E36" s="3" t="s">
        <v>310</v>
      </c>
      <c r="F36" s="3" t="s">
        <v>311</v>
      </c>
      <c r="G36" s="3" t="s">
        <v>312</v>
      </c>
      <c r="H36" s="4" t="s">
        <v>578</v>
      </c>
      <c r="I36" s="3" t="s">
        <v>84</v>
      </c>
      <c r="J36" s="3" t="s">
        <v>313</v>
      </c>
      <c r="K36" s="3" t="s">
        <v>314</v>
      </c>
      <c r="L36" s="4" t="s">
        <v>578</v>
      </c>
      <c r="M36" s="3" t="s">
        <v>84</v>
      </c>
      <c r="N36" s="3"/>
    </row>
    <row r="37" spans="1:14" ht="69" customHeight="1">
      <c r="A37" s="3" t="s">
        <v>84</v>
      </c>
      <c r="B37" s="3" t="s">
        <v>315</v>
      </c>
      <c r="C37" s="3" t="s">
        <v>316</v>
      </c>
      <c r="D37" s="3" t="s">
        <v>317</v>
      </c>
      <c r="E37" s="3" t="s">
        <v>265</v>
      </c>
      <c r="F37" s="3" t="s">
        <v>318</v>
      </c>
      <c r="G37" s="3" t="s">
        <v>319</v>
      </c>
      <c r="H37" s="4" t="s">
        <v>578</v>
      </c>
      <c r="I37" s="3" t="s">
        <v>84</v>
      </c>
      <c r="J37" s="3" t="s">
        <v>320</v>
      </c>
      <c r="K37" s="3" t="s">
        <v>321</v>
      </c>
      <c r="L37" s="4" t="s">
        <v>578</v>
      </c>
      <c r="M37" s="3" t="s">
        <v>84</v>
      </c>
      <c r="N37" s="3"/>
    </row>
    <row r="38" spans="1:14" ht="15" customHeight="1">
      <c r="A38" s="3" t="s">
        <v>84</v>
      </c>
      <c r="B38" s="3" t="s">
        <v>322</v>
      </c>
      <c r="C38" s="3" t="s">
        <v>323</v>
      </c>
      <c r="D38" s="3" t="s">
        <v>324</v>
      </c>
      <c r="E38" s="3" t="s">
        <v>153</v>
      </c>
      <c r="F38" s="3" t="s">
        <v>324</v>
      </c>
      <c r="G38" s="3" t="s">
        <v>325</v>
      </c>
      <c r="H38" s="4" t="s">
        <v>578</v>
      </c>
      <c r="I38" s="3" t="s">
        <v>84</v>
      </c>
      <c r="J38" s="3" t="s">
        <v>324</v>
      </c>
      <c r="K38" s="3" t="s">
        <v>326</v>
      </c>
      <c r="L38" s="4" t="s">
        <v>578</v>
      </c>
      <c r="M38" s="3" t="s">
        <v>84</v>
      </c>
      <c r="N38" s="3"/>
    </row>
    <row r="39" spans="1:14" ht="120" customHeight="1">
      <c r="A39" s="3" t="s">
        <v>84</v>
      </c>
      <c r="B39" s="3" t="s">
        <v>327</v>
      </c>
      <c r="C39" s="3" t="s">
        <v>328</v>
      </c>
      <c r="D39" s="3" t="s">
        <v>329</v>
      </c>
      <c r="E39" s="3" t="s">
        <v>153</v>
      </c>
      <c r="F39" s="3" t="s">
        <v>330</v>
      </c>
      <c r="G39" s="3" t="s">
        <v>331</v>
      </c>
      <c r="H39" s="4" t="s">
        <v>578</v>
      </c>
      <c r="I39" s="3" t="s">
        <v>84</v>
      </c>
      <c r="J39" s="3" t="s">
        <v>332</v>
      </c>
      <c r="K39" s="3" t="s">
        <v>333</v>
      </c>
      <c r="L39" s="4" t="s">
        <v>578</v>
      </c>
      <c r="M39" s="3" t="s">
        <v>84</v>
      </c>
      <c r="N39" s="3"/>
    </row>
    <row r="40" spans="1:14" ht="72.75" customHeight="1">
      <c r="A40" s="3" t="s">
        <v>84</v>
      </c>
      <c r="B40" s="3" t="s">
        <v>334</v>
      </c>
      <c r="C40" s="3" t="s">
        <v>335</v>
      </c>
      <c r="D40" s="3" t="s">
        <v>336</v>
      </c>
      <c r="E40" s="3" t="s">
        <v>337</v>
      </c>
      <c r="F40" s="3" t="s">
        <v>338</v>
      </c>
      <c r="G40" s="3" t="s">
        <v>339</v>
      </c>
      <c r="H40" s="4" t="s">
        <v>578</v>
      </c>
      <c r="I40" s="3" t="s">
        <v>84</v>
      </c>
      <c r="J40" s="3" t="s">
        <v>340</v>
      </c>
      <c r="K40" s="3" t="s">
        <v>341</v>
      </c>
      <c r="L40" s="4" t="s">
        <v>578</v>
      </c>
      <c r="M40" s="3" t="s">
        <v>84</v>
      </c>
      <c r="N40" s="3"/>
    </row>
    <row r="41" spans="1:14" ht="59.25" customHeight="1">
      <c r="A41" s="3" t="s">
        <v>84</v>
      </c>
      <c r="B41" s="3" t="s">
        <v>342</v>
      </c>
      <c r="C41" s="3" t="s">
        <v>343</v>
      </c>
      <c r="D41" s="3" t="s">
        <v>344</v>
      </c>
      <c r="E41" s="3" t="s">
        <v>202</v>
      </c>
      <c r="F41" s="3" t="s">
        <v>345</v>
      </c>
      <c r="G41" s="3" t="s">
        <v>346</v>
      </c>
      <c r="H41" s="4" t="s">
        <v>578</v>
      </c>
      <c r="I41" s="3" t="s">
        <v>84</v>
      </c>
      <c r="J41" s="3" t="s">
        <v>347</v>
      </c>
      <c r="K41" s="3" t="s">
        <v>348</v>
      </c>
      <c r="L41" s="4" t="s">
        <v>578</v>
      </c>
      <c r="M41" s="3" t="s">
        <v>84</v>
      </c>
      <c r="N41" s="3"/>
    </row>
    <row r="42" spans="1:14" ht="107.25" customHeight="1">
      <c r="A42" s="3" t="s">
        <v>84</v>
      </c>
      <c r="B42" s="3" t="s">
        <v>349</v>
      </c>
      <c r="C42" s="3" t="s">
        <v>350</v>
      </c>
      <c r="D42" s="3" t="s">
        <v>351</v>
      </c>
      <c r="E42" s="3" t="s">
        <v>352</v>
      </c>
      <c r="F42" s="3" t="s">
        <v>353</v>
      </c>
      <c r="G42" s="3" t="s">
        <v>354</v>
      </c>
      <c r="H42" s="4" t="s">
        <v>578</v>
      </c>
      <c r="I42" s="3" t="s">
        <v>84</v>
      </c>
      <c r="J42" s="3" t="s">
        <v>355</v>
      </c>
      <c r="K42" s="3" t="s">
        <v>356</v>
      </c>
      <c r="L42" s="4" t="s">
        <v>578</v>
      </c>
      <c r="M42" s="3" t="s">
        <v>84</v>
      </c>
      <c r="N42" s="3"/>
    </row>
    <row r="43" spans="1:14" ht="90" customHeight="1">
      <c r="A43" s="3" t="s">
        <v>84</v>
      </c>
      <c r="B43" s="3" t="s">
        <v>357</v>
      </c>
      <c r="C43" s="3" t="s">
        <v>358</v>
      </c>
      <c r="D43" s="3" t="s">
        <v>359</v>
      </c>
      <c r="E43" s="3" t="s">
        <v>224</v>
      </c>
      <c r="F43" s="3" t="s">
        <v>360</v>
      </c>
      <c r="G43" s="3" t="s">
        <v>361</v>
      </c>
      <c r="H43" s="4" t="s">
        <v>578</v>
      </c>
      <c r="I43" s="3" t="s">
        <v>84</v>
      </c>
      <c r="J43" s="3" t="s">
        <v>362</v>
      </c>
      <c r="K43" s="3" t="s">
        <v>363</v>
      </c>
      <c r="L43" s="4" t="s">
        <v>578</v>
      </c>
      <c r="M43" s="3" t="s">
        <v>84</v>
      </c>
      <c r="N43" s="3"/>
    </row>
    <row r="44" spans="1:14" ht="99" customHeight="1">
      <c r="A44" s="3" t="s">
        <v>84</v>
      </c>
      <c r="B44" s="3" t="s">
        <v>364</v>
      </c>
      <c r="C44" s="3" t="s">
        <v>365</v>
      </c>
      <c r="D44" s="3" t="s">
        <v>366</v>
      </c>
      <c r="E44" s="3" t="s">
        <v>265</v>
      </c>
      <c r="F44" s="3" t="s">
        <v>367</v>
      </c>
      <c r="G44" s="3" t="s">
        <v>368</v>
      </c>
      <c r="H44" s="4" t="s">
        <v>578</v>
      </c>
      <c r="I44" s="3" t="s">
        <v>84</v>
      </c>
      <c r="J44" s="3" t="s">
        <v>369</v>
      </c>
      <c r="K44" s="3" t="s">
        <v>370</v>
      </c>
      <c r="L44" s="4" t="s">
        <v>578</v>
      </c>
      <c r="M44" s="3" t="s">
        <v>84</v>
      </c>
      <c r="N44" s="3"/>
    </row>
    <row r="45" spans="1:14" ht="207.75" customHeight="1">
      <c r="A45" s="3" t="s">
        <v>84</v>
      </c>
      <c r="B45" s="3" t="s">
        <v>371</v>
      </c>
      <c r="C45" s="3" t="s">
        <v>372</v>
      </c>
      <c r="D45" s="3" t="s">
        <v>373</v>
      </c>
      <c r="E45" s="3" t="s">
        <v>238</v>
      </c>
      <c r="F45" s="3" t="s">
        <v>374</v>
      </c>
      <c r="G45" s="3" t="s">
        <v>375</v>
      </c>
      <c r="H45" s="4" t="s">
        <v>578</v>
      </c>
      <c r="I45" s="3" t="s">
        <v>84</v>
      </c>
      <c r="J45" s="3" t="s">
        <v>376</v>
      </c>
      <c r="K45" s="3" t="s">
        <v>377</v>
      </c>
      <c r="L45" s="4" t="s">
        <v>578</v>
      </c>
      <c r="M45" s="3" t="s">
        <v>84</v>
      </c>
      <c r="N45" s="3"/>
    </row>
  </sheetData>
  <mergeCells count="2">
    <mergeCell ref="A1:N1"/>
    <mergeCell ref="A2:N2"/>
  </mergeCells>
  <dataValidations count="1">
    <dataValidation type="list" sqref="I4:I45 M4:M45" xr:uid="{00000000-0002-0000-0200-000000000000}">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topLeftCell="F1" workbookViewId="0">
      <selection activeCell="L6" sqref="L6"/>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2" t="s">
        <v>378</v>
      </c>
      <c r="B1" s="12"/>
      <c r="C1" s="12"/>
      <c r="D1" s="12"/>
      <c r="E1" s="12"/>
      <c r="F1" s="12"/>
      <c r="G1" s="12"/>
      <c r="H1" s="12"/>
      <c r="I1" s="12"/>
      <c r="J1" s="12"/>
      <c r="K1" s="12"/>
      <c r="L1" s="12"/>
      <c r="M1" s="12"/>
      <c r="N1" s="12"/>
    </row>
    <row r="2" spans="1:14" ht="39.950000000000003" customHeight="1">
      <c r="A2" s="13" t="s">
        <v>379</v>
      </c>
      <c r="B2" s="13"/>
      <c r="C2" s="13"/>
      <c r="D2" s="13"/>
      <c r="E2" s="13"/>
      <c r="F2" s="13"/>
      <c r="G2" s="13"/>
      <c r="H2" s="13"/>
      <c r="I2" s="13"/>
      <c r="J2" s="13"/>
      <c r="K2" s="13"/>
      <c r="L2" s="13"/>
      <c r="M2" s="13"/>
      <c r="N2" s="13"/>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380</v>
      </c>
      <c r="B4" s="3" t="s">
        <v>381</v>
      </c>
      <c r="C4" s="3" t="s">
        <v>382</v>
      </c>
      <c r="D4" s="3" t="s">
        <v>383</v>
      </c>
      <c r="E4" s="3" t="s">
        <v>310</v>
      </c>
      <c r="F4" s="3" t="s">
        <v>384</v>
      </c>
      <c r="G4" s="3" t="s">
        <v>385</v>
      </c>
      <c r="H4" s="4" t="s">
        <v>578</v>
      </c>
      <c r="I4" s="3" t="s">
        <v>84</v>
      </c>
      <c r="J4" s="3" t="s">
        <v>386</v>
      </c>
      <c r="K4" s="3" t="s">
        <v>387</v>
      </c>
      <c r="L4" s="4" t="s">
        <v>578</v>
      </c>
      <c r="M4" s="3" t="s">
        <v>84</v>
      </c>
      <c r="N4" s="3"/>
    </row>
    <row r="5" spans="1:14" ht="15" customHeight="1">
      <c r="A5" s="3" t="s">
        <v>380</v>
      </c>
      <c r="B5" s="3" t="s">
        <v>388</v>
      </c>
      <c r="C5" s="3" t="s">
        <v>389</v>
      </c>
      <c r="D5" s="3" t="s">
        <v>390</v>
      </c>
      <c r="E5" s="3" t="s">
        <v>238</v>
      </c>
      <c r="F5" s="3" t="s">
        <v>391</v>
      </c>
      <c r="G5" s="3" t="s">
        <v>392</v>
      </c>
      <c r="H5" s="4" t="s">
        <v>578</v>
      </c>
      <c r="I5" s="3" t="s">
        <v>84</v>
      </c>
      <c r="J5" s="3" t="s">
        <v>393</v>
      </c>
      <c r="K5" s="3" t="s">
        <v>394</v>
      </c>
      <c r="L5" s="4" t="s">
        <v>578</v>
      </c>
      <c r="M5" s="3" t="s">
        <v>84</v>
      </c>
      <c r="N5" s="3"/>
    </row>
    <row r="6" spans="1:14" ht="74.25" customHeight="1">
      <c r="A6" s="3" t="s">
        <v>380</v>
      </c>
      <c r="B6" s="3" t="s">
        <v>395</v>
      </c>
      <c r="C6" s="3" t="s">
        <v>396</v>
      </c>
      <c r="D6" s="3" t="s">
        <v>397</v>
      </c>
      <c r="E6" s="3" t="s">
        <v>310</v>
      </c>
      <c r="F6" s="3" t="s">
        <v>398</v>
      </c>
      <c r="G6" s="3" t="s">
        <v>399</v>
      </c>
      <c r="H6" s="4" t="s">
        <v>578</v>
      </c>
      <c r="I6" s="3" t="s">
        <v>84</v>
      </c>
      <c r="J6" s="3" t="s">
        <v>400</v>
      </c>
      <c r="K6" s="3" t="s">
        <v>401</v>
      </c>
      <c r="L6" s="4" t="s">
        <v>578</v>
      </c>
      <c r="M6" s="3" t="s">
        <v>84</v>
      </c>
      <c r="N6" s="3"/>
    </row>
  </sheetData>
  <mergeCells count="2">
    <mergeCell ref="A1:N1"/>
    <mergeCell ref="A2:N2"/>
  </mergeCells>
  <dataValidations count="1">
    <dataValidation type="list" sqref="M4:M6 I4:I6" xr:uid="{00000000-0002-0000-0300-000000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
  <sheetViews>
    <sheetView showGridLines="0" topLeftCell="F11" workbookViewId="0">
      <selection activeCell="L12" sqref="L12"/>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2" t="s">
        <v>402</v>
      </c>
      <c r="B1" s="12"/>
      <c r="C1" s="12"/>
      <c r="D1" s="12"/>
      <c r="E1" s="12"/>
      <c r="F1" s="12"/>
      <c r="G1" s="12"/>
      <c r="H1" s="12"/>
      <c r="I1" s="12"/>
      <c r="J1" s="12"/>
      <c r="K1" s="12"/>
      <c r="L1" s="12"/>
      <c r="M1" s="12"/>
      <c r="N1" s="12"/>
    </row>
    <row r="2" spans="1:14" ht="39.950000000000003" customHeight="1">
      <c r="A2" s="13" t="s">
        <v>403</v>
      </c>
      <c r="B2" s="13"/>
      <c r="C2" s="13"/>
      <c r="D2" s="13"/>
      <c r="E2" s="13"/>
      <c r="F2" s="13"/>
      <c r="G2" s="13"/>
      <c r="H2" s="13"/>
      <c r="I2" s="13"/>
      <c r="J2" s="13"/>
      <c r="K2" s="13"/>
      <c r="L2" s="13"/>
      <c r="M2" s="13"/>
      <c r="N2" s="13"/>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84</v>
      </c>
      <c r="B4" s="3" t="s">
        <v>404</v>
      </c>
      <c r="C4" s="3" t="s">
        <v>405</v>
      </c>
      <c r="D4" s="3" t="s">
        <v>406</v>
      </c>
      <c r="E4" s="3" t="s">
        <v>407</v>
      </c>
      <c r="F4" s="3" t="s">
        <v>406</v>
      </c>
      <c r="G4" s="3" t="s">
        <v>408</v>
      </c>
      <c r="H4" s="4" t="s">
        <v>578</v>
      </c>
      <c r="I4" s="3" t="s">
        <v>84</v>
      </c>
      <c r="J4" s="3" t="s">
        <v>406</v>
      </c>
      <c r="K4" s="3" t="s">
        <v>408</v>
      </c>
      <c r="L4" s="4" t="s">
        <v>578</v>
      </c>
      <c r="M4" s="3" t="s">
        <v>84</v>
      </c>
      <c r="N4" s="3"/>
    </row>
    <row r="5" spans="1:14" ht="26.45" customHeight="1">
      <c r="A5" s="3" t="s">
        <v>84</v>
      </c>
      <c r="B5" s="3" t="s">
        <v>409</v>
      </c>
      <c r="C5" s="3" t="s">
        <v>410</v>
      </c>
      <c r="D5" s="3" t="s">
        <v>411</v>
      </c>
      <c r="E5" s="3" t="s">
        <v>412</v>
      </c>
      <c r="F5" s="3" t="s">
        <v>411</v>
      </c>
      <c r="G5" s="3" t="s">
        <v>413</v>
      </c>
      <c r="H5" s="4" t="s">
        <v>578</v>
      </c>
      <c r="I5" s="3" t="s">
        <v>84</v>
      </c>
      <c r="J5" s="3" t="s">
        <v>411</v>
      </c>
      <c r="K5" s="3" t="s">
        <v>414</v>
      </c>
      <c r="L5" s="4" t="s">
        <v>578</v>
      </c>
      <c r="M5" s="3" t="s">
        <v>84</v>
      </c>
      <c r="N5" s="3"/>
    </row>
    <row r="6" spans="1:14" ht="26.45" customHeight="1">
      <c r="A6" s="3" t="s">
        <v>84</v>
      </c>
      <c r="B6" s="3" t="s">
        <v>415</v>
      </c>
      <c r="C6" s="3" t="s">
        <v>416</v>
      </c>
      <c r="D6" s="3" t="s">
        <v>417</v>
      </c>
      <c r="E6" s="3" t="s">
        <v>418</v>
      </c>
      <c r="F6" s="3" t="s">
        <v>417</v>
      </c>
      <c r="G6" s="3" t="s">
        <v>419</v>
      </c>
      <c r="H6" s="4" t="s">
        <v>578</v>
      </c>
      <c r="I6" s="3" t="s">
        <v>84</v>
      </c>
      <c r="J6" s="3" t="s">
        <v>417</v>
      </c>
      <c r="K6" s="3" t="s">
        <v>419</v>
      </c>
      <c r="L6" s="4" t="s">
        <v>578</v>
      </c>
      <c r="M6" s="3" t="s">
        <v>84</v>
      </c>
      <c r="N6" s="3"/>
    </row>
    <row r="7" spans="1:14" ht="26.45" customHeight="1">
      <c r="A7" s="3" t="s">
        <v>84</v>
      </c>
      <c r="B7" s="3" t="s">
        <v>420</v>
      </c>
      <c r="C7" s="3" t="s">
        <v>421</v>
      </c>
      <c r="D7" s="3" t="s">
        <v>422</v>
      </c>
      <c r="E7" s="3" t="s">
        <v>423</v>
      </c>
      <c r="F7" s="3" t="s">
        <v>422</v>
      </c>
      <c r="G7" s="3" t="s">
        <v>424</v>
      </c>
      <c r="H7" s="4" t="s">
        <v>578</v>
      </c>
      <c r="I7" s="3" t="s">
        <v>84</v>
      </c>
      <c r="J7" s="3" t="s">
        <v>422</v>
      </c>
      <c r="K7" s="3" t="s">
        <v>425</v>
      </c>
      <c r="L7" s="4" t="s">
        <v>578</v>
      </c>
      <c r="M7" s="3" t="s">
        <v>84</v>
      </c>
      <c r="N7" s="3"/>
    </row>
    <row r="8" spans="1:14" ht="90.75" customHeight="1">
      <c r="A8" s="3" t="s">
        <v>84</v>
      </c>
      <c r="B8" s="3" t="s">
        <v>426</v>
      </c>
      <c r="C8" s="3" t="s">
        <v>427</v>
      </c>
      <c r="D8" s="3" t="s">
        <v>428</v>
      </c>
      <c r="E8" s="3" t="s">
        <v>429</v>
      </c>
      <c r="F8" s="3" t="s">
        <v>430</v>
      </c>
      <c r="G8" s="3" t="s">
        <v>431</v>
      </c>
      <c r="H8" s="4" t="s">
        <v>578</v>
      </c>
      <c r="I8" s="3" t="s">
        <v>84</v>
      </c>
      <c r="J8" s="3" t="s">
        <v>432</v>
      </c>
      <c r="K8" s="3" t="s">
        <v>433</v>
      </c>
      <c r="L8" s="4" t="s">
        <v>578</v>
      </c>
      <c r="M8" s="3" t="s">
        <v>84</v>
      </c>
      <c r="N8" s="3"/>
    </row>
    <row r="9" spans="1:14" ht="249.75" customHeight="1">
      <c r="A9" s="3" t="s">
        <v>84</v>
      </c>
      <c r="B9" s="3" t="s">
        <v>434</v>
      </c>
      <c r="C9" s="3" t="s">
        <v>435</v>
      </c>
      <c r="D9" s="3" t="s">
        <v>436</v>
      </c>
      <c r="E9" s="3" t="s">
        <v>437</v>
      </c>
      <c r="F9" s="3" t="s">
        <v>438</v>
      </c>
      <c r="G9" s="3" t="s">
        <v>439</v>
      </c>
      <c r="H9" s="4" t="s">
        <v>578</v>
      </c>
      <c r="I9" s="3" t="s">
        <v>84</v>
      </c>
      <c r="J9" s="3" t="s">
        <v>438</v>
      </c>
      <c r="K9" s="3" t="s">
        <v>440</v>
      </c>
      <c r="L9" s="4" t="s">
        <v>578</v>
      </c>
      <c r="M9" s="3" t="s">
        <v>84</v>
      </c>
      <c r="N9" s="3"/>
    </row>
    <row r="10" spans="1:14" ht="134.25" customHeight="1">
      <c r="A10" s="3" t="s">
        <v>84</v>
      </c>
      <c r="B10" s="3" t="s">
        <v>441</v>
      </c>
      <c r="C10" s="3" t="s">
        <v>442</v>
      </c>
      <c r="D10" s="3" t="s">
        <v>443</v>
      </c>
      <c r="E10" s="3" t="s">
        <v>224</v>
      </c>
      <c r="F10" s="3" t="s">
        <v>444</v>
      </c>
      <c r="G10" s="3" t="s">
        <v>445</v>
      </c>
      <c r="H10" s="4" t="s">
        <v>578</v>
      </c>
      <c r="I10" s="3" t="s">
        <v>84</v>
      </c>
      <c r="J10" s="3" t="s">
        <v>446</v>
      </c>
      <c r="K10" s="3" t="s">
        <v>447</v>
      </c>
      <c r="L10" s="4" t="s">
        <v>578</v>
      </c>
      <c r="M10" s="3" t="s">
        <v>84</v>
      </c>
      <c r="N10" s="3"/>
    </row>
    <row r="11" spans="1:14" ht="124.5" customHeight="1">
      <c r="A11" s="3" t="s">
        <v>84</v>
      </c>
      <c r="B11" s="3" t="s">
        <v>448</v>
      </c>
      <c r="C11" s="3" t="s">
        <v>449</v>
      </c>
      <c r="D11" s="3" t="s">
        <v>450</v>
      </c>
      <c r="E11" s="3" t="s">
        <v>451</v>
      </c>
      <c r="F11" s="3" t="s">
        <v>452</v>
      </c>
      <c r="G11" s="3" t="s">
        <v>453</v>
      </c>
      <c r="H11" s="4" t="s">
        <v>578</v>
      </c>
      <c r="I11" s="3" t="s">
        <v>84</v>
      </c>
      <c r="J11" s="3" t="s">
        <v>454</v>
      </c>
      <c r="K11" s="3" t="s">
        <v>455</v>
      </c>
      <c r="L11" s="4" t="s">
        <v>578</v>
      </c>
      <c r="M11" s="3" t="s">
        <v>84</v>
      </c>
      <c r="N11" s="3"/>
    </row>
    <row r="12" spans="1:14" ht="170.25" customHeight="1">
      <c r="A12" s="3" t="s">
        <v>84</v>
      </c>
      <c r="B12" s="3" t="s">
        <v>456</v>
      </c>
      <c r="C12" s="3" t="s">
        <v>457</v>
      </c>
      <c r="D12" s="3" t="s">
        <v>458</v>
      </c>
      <c r="E12" s="3" t="s">
        <v>459</v>
      </c>
      <c r="F12" s="3" t="s">
        <v>460</v>
      </c>
      <c r="G12" s="3" t="s">
        <v>461</v>
      </c>
      <c r="H12" s="4" t="s">
        <v>578</v>
      </c>
      <c r="I12" s="3" t="s">
        <v>84</v>
      </c>
      <c r="J12" s="3" t="s">
        <v>462</v>
      </c>
      <c r="K12" s="3" t="s">
        <v>463</v>
      </c>
      <c r="L12" s="4" t="s">
        <v>578</v>
      </c>
      <c r="M12" s="3" t="s">
        <v>84</v>
      </c>
      <c r="N12" s="3"/>
    </row>
  </sheetData>
  <mergeCells count="2">
    <mergeCell ref="A1:N1"/>
    <mergeCell ref="A2:N2"/>
  </mergeCells>
  <dataValidations count="1">
    <dataValidation type="list" sqref="M4:M12 I4:I12" xr:uid="{00000000-0002-0000-04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showGridLines="0" workbookViewId="0">
      <pane xSplit="3" ySplit="2" topLeftCell="G3" activePane="bottomRight" state="frozen"/>
      <selection pane="topRight" activeCell="D1" sqref="D1"/>
      <selection pane="bottomLeft" activeCell="A3" sqref="A3"/>
      <selection pane="bottomRight" activeCell="H4" sqref="H4"/>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2" t="s">
        <v>464</v>
      </c>
      <c r="B1" s="12"/>
      <c r="C1" s="12"/>
      <c r="D1" s="12"/>
      <c r="E1" s="12"/>
      <c r="F1" s="12"/>
      <c r="G1" s="12"/>
      <c r="H1" s="12"/>
      <c r="I1" s="12"/>
      <c r="J1" s="12"/>
      <c r="K1" s="12"/>
      <c r="L1" s="12"/>
      <c r="M1" s="12"/>
      <c r="N1" s="12"/>
    </row>
    <row r="2" spans="1:14" ht="39.950000000000003" customHeight="1">
      <c r="A2" s="13" t="s">
        <v>465</v>
      </c>
      <c r="B2" s="13"/>
      <c r="C2" s="13"/>
      <c r="D2" s="13"/>
      <c r="E2" s="13"/>
      <c r="F2" s="13"/>
      <c r="G2" s="13"/>
      <c r="H2" s="13"/>
      <c r="I2" s="13"/>
      <c r="J2" s="13"/>
      <c r="K2" s="13"/>
      <c r="L2" s="13"/>
      <c r="M2" s="13"/>
      <c r="N2" s="13"/>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59.25" customHeight="1">
      <c r="A4" s="3" t="s">
        <v>84</v>
      </c>
      <c r="B4" s="3" t="s">
        <v>466</v>
      </c>
      <c r="C4" s="3" t="s">
        <v>467</v>
      </c>
      <c r="D4" s="3" t="s">
        <v>468</v>
      </c>
      <c r="E4" s="3" t="s">
        <v>469</v>
      </c>
      <c r="F4" s="3" t="s">
        <v>470</v>
      </c>
      <c r="G4" s="3" t="s">
        <v>471</v>
      </c>
      <c r="H4" s="4" t="s">
        <v>472</v>
      </c>
      <c r="I4" s="3" t="s">
        <v>84</v>
      </c>
      <c r="J4" s="3" t="s">
        <v>473</v>
      </c>
      <c r="K4" s="3" t="s">
        <v>474</v>
      </c>
      <c r="L4" s="4" t="s">
        <v>472</v>
      </c>
      <c r="M4" s="3" t="s">
        <v>84</v>
      </c>
      <c r="N4" s="3"/>
    </row>
    <row r="5" spans="1:14" s="10" customFormat="1" ht="75" customHeight="1">
      <c r="A5" s="9" t="s">
        <v>84</v>
      </c>
      <c r="B5" s="9" t="s">
        <v>475</v>
      </c>
      <c r="C5" s="9" t="s">
        <v>476</v>
      </c>
      <c r="D5" s="9" t="s">
        <v>477</v>
      </c>
      <c r="E5" s="9" t="s">
        <v>478</v>
      </c>
      <c r="F5" s="9" t="s">
        <v>574</v>
      </c>
      <c r="G5" s="3" t="s">
        <v>577</v>
      </c>
      <c r="H5" s="4" t="s">
        <v>472</v>
      </c>
      <c r="I5" s="9" t="s">
        <v>84</v>
      </c>
      <c r="J5" s="9" t="s">
        <v>574</v>
      </c>
      <c r="K5" s="3" t="s">
        <v>575</v>
      </c>
      <c r="L5" s="4" t="s">
        <v>472</v>
      </c>
      <c r="M5" s="9" t="s">
        <v>84</v>
      </c>
      <c r="N5" s="9"/>
    </row>
    <row r="6" spans="1:14" ht="56.25" customHeight="1">
      <c r="A6" s="3" t="s">
        <v>84</v>
      </c>
      <c r="B6" s="3" t="s">
        <v>479</v>
      </c>
      <c r="C6" s="3" t="s">
        <v>480</v>
      </c>
      <c r="D6" s="3" t="s">
        <v>481</v>
      </c>
      <c r="E6" s="3" t="s">
        <v>482</v>
      </c>
      <c r="F6" s="3" t="s">
        <v>483</v>
      </c>
      <c r="G6" s="11" t="s">
        <v>576</v>
      </c>
      <c r="H6" s="4" t="s">
        <v>472</v>
      </c>
      <c r="I6" s="3" t="s">
        <v>84</v>
      </c>
      <c r="J6" s="3" t="s">
        <v>483</v>
      </c>
      <c r="K6" s="3" t="s">
        <v>484</v>
      </c>
      <c r="L6" s="4" t="s">
        <v>472</v>
      </c>
      <c r="M6" s="3" t="s">
        <v>84</v>
      </c>
      <c r="N6" s="3"/>
    </row>
    <row r="7" spans="1:14" ht="82.5" customHeight="1">
      <c r="A7" s="3" t="s">
        <v>84</v>
      </c>
      <c r="B7" s="3" t="s">
        <v>485</v>
      </c>
      <c r="C7" s="3" t="s">
        <v>486</v>
      </c>
      <c r="D7" s="3" t="s">
        <v>487</v>
      </c>
      <c r="E7" s="3" t="s">
        <v>488</v>
      </c>
      <c r="F7" s="3" t="s">
        <v>489</v>
      </c>
      <c r="G7" s="3" t="s">
        <v>490</v>
      </c>
      <c r="H7" s="4" t="s">
        <v>472</v>
      </c>
      <c r="I7" s="3" t="s">
        <v>84</v>
      </c>
      <c r="J7" s="3" t="s">
        <v>489</v>
      </c>
      <c r="K7" s="3" t="s">
        <v>491</v>
      </c>
      <c r="L7" s="4" t="s">
        <v>472</v>
      </c>
      <c r="M7" s="3" t="s">
        <v>84</v>
      </c>
      <c r="N7" s="3"/>
    </row>
    <row r="8" spans="1:14" ht="76.5" customHeight="1">
      <c r="A8" s="3" t="s">
        <v>84</v>
      </c>
      <c r="B8" s="3" t="s">
        <v>492</v>
      </c>
      <c r="C8" s="3" t="s">
        <v>493</v>
      </c>
      <c r="D8" s="3" t="s">
        <v>494</v>
      </c>
      <c r="E8" s="3" t="s">
        <v>495</v>
      </c>
      <c r="F8" s="3" t="s">
        <v>496</v>
      </c>
      <c r="G8" s="3" t="s">
        <v>497</v>
      </c>
      <c r="H8" s="4" t="s">
        <v>472</v>
      </c>
      <c r="I8" s="3" t="s">
        <v>84</v>
      </c>
      <c r="J8" s="3" t="s">
        <v>496</v>
      </c>
      <c r="K8" s="3" t="s">
        <v>498</v>
      </c>
      <c r="L8" s="4" t="s">
        <v>472</v>
      </c>
      <c r="M8" s="3" t="s">
        <v>84</v>
      </c>
      <c r="N8" s="3"/>
    </row>
    <row r="9" spans="1:14" ht="162.75" customHeight="1">
      <c r="A9" s="3" t="s">
        <v>84</v>
      </c>
      <c r="B9" s="3" t="s">
        <v>499</v>
      </c>
      <c r="C9" s="3" t="s">
        <v>500</v>
      </c>
      <c r="D9" s="3" t="s">
        <v>501</v>
      </c>
      <c r="E9" s="3" t="s">
        <v>502</v>
      </c>
      <c r="F9" s="3" t="s">
        <v>503</v>
      </c>
      <c r="G9" s="3" t="s">
        <v>504</v>
      </c>
      <c r="H9" s="4" t="s">
        <v>472</v>
      </c>
      <c r="I9" s="3" t="s">
        <v>84</v>
      </c>
      <c r="J9" s="3" t="s">
        <v>503</v>
      </c>
      <c r="K9" s="3" t="s">
        <v>505</v>
      </c>
      <c r="L9" s="4" t="s">
        <v>472</v>
      </c>
      <c r="M9" s="3" t="s">
        <v>84</v>
      </c>
      <c r="N9" s="3"/>
    </row>
    <row r="10" spans="1:14" ht="98.25" customHeight="1">
      <c r="A10" s="3" t="s">
        <v>84</v>
      </c>
      <c r="B10" s="3" t="s">
        <v>506</v>
      </c>
      <c r="C10" s="3" t="s">
        <v>507</v>
      </c>
      <c r="D10" s="3" t="s">
        <v>508</v>
      </c>
      <c r="E10" s="3" t="s">
        <v>509</v>
      </c>
      <c r="F10" s="3" t="s">
        <v>510</v>
      </c>
      <c r="G10" s="3" t="s">
        <v>511</v>
      </c>
      <c r="H10" s="4" t="s">
        <v>472</v>
      </c>
      <c r="I10" s="3" t="s">
        <v>84</v>
      </c>
      <c r="J10" s="3" t="s">
        <v>510</v>
      </c>
      <c r="K10" s="3" t="s">
        <v>512</v>
      </c>
      <c r="L10" s="4" t="s">
        <v>472</v>
      </c>
      <c r="M10" s="3" t="s">
        <v>84</v>
      </c>
      <c r="N10" s="3"/>
    </row>
    <row r="11" spans="1:14" ht="77.25" customHeight="1">
      <c r="A11" s="3" t="s">
        <v>84</v>
      </c>
      <c r="B11" s="3" t="s">
        <v>513</v>
      </c>
      <c r="C11" s="3" t="s">
        <v>514</v>
      </c>
      <c r="D11" s="3" t="s">
        <v>515</v>
      </c>
      <c r="E11" s="3" t="s">
        <v>516</v>
      </c>
      <c r="F11" s="3" t="s">
        <v>517</v>
      </c>
      <c r="G11" s="3" t="s">
        <v>518</v>
      </c>
      <c r="H11" s="4" t="s">
        <v>472</v>
      </c>
      <c r="I11" s="3" t="s">
        <v>84</v>
      </c>
      <c r="J11" s="3" t="s">
        <v>517</v>
      </c>
      <c r="K11" s="3" t="s">
        <v>519</v>
      </c>
      <c r="L11" s="4" t="s">
        <v>472</v>
      </c>
      <c r="M11" s="3" t="s">
        <v>84</v>
      </c>
      <c r="N11" s="3"/>
    </row>
  </sheetData>
  <mergeCells count="2">
    <mergeCell ref="A1:N1"/>
    <mergeCell ref="A2:N2"/>
  </mergeCells>
  <dataValidations count="1">
    <dataValidation type="list" sqref="I4:I11 M4:M11" xr:uid="{00000000-0002-0000-0500-000000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
  <sheetViews>
    <sheetView showGridLines="0" tabSelected="1" topLeftCell="F6" workbookViewId="0">
      <selection activeCell="L7" sqref="L7"/>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12" t="s">
        <v>520</v>
      </c>
      <c r="B1" s="12"/>
      <c r="C1" s="12"/>
      <c r="D1" s="12"/>
      <c r="E1" s="12"/>
      <c r="F1" s="12"/>
      <c r="G1" s="12"/>
      <c r="H1" s="12"/>
      <c r="I1" s="12"/>
      <c r="J1" s="12"/>
      <c r="K1" s="12"/>
      <c r="L1" s="12"/>
      <c r="M1" s="12"/>
      <c r="N1" s="12"/>
    </row>
    <row r="2" spans="1:14" ht="39.950000000000003" customHeight="1">
      <c r="A2" s="13" t="s">
        <v>521</v>
      </c>
      <c r="B2" s="13"/>
      <c r="C2" s="13"/>
      <c r="D2" s="13"/>
      <c r="E2" s="13"/>
      <c r="F2" s="13"/>
      <c r="G2" s="13"/>
      <c r="H2" s="13"/>
      <c r="I2" s="13"/>
      <c r="J2" s="13"/>
      <c r="K2" s="13"/>
      <c r="L2" s="13"/>
      <c r="M2" s="13"/>
      <c r="N2" s="13"/>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66.75" customHeight="1">
      <c r="A4" s="3" t="s">
        <v>84</v>
      </c>
      <c r="B4" s="3" t="s">
        <v>522</v>
      </c>
      <c r="C4" s="3" t="s">
        <v>523</v>
      </c>
      <c r="D4" s="3" t="s">
        <v>524</v>
      </c>
      <c r="E4" s="3" t="s">
        <v>525</v>
      </c>
      <c r="F4" s="3" t="s">
        <v>526</v>
      </c>
      <c r="G4" s="3" t="s">
        <v>527</v>
      </c>
      <c r="H4" s="4" t="s">
        <v>472</v>
      </c>
      <c r="I4" s="3" t="s">
        <v>84</v>
      </c>
      <c r="J4" s="3" t="s">
        <v>526</v>
      </c>
      <c r="K4" s="3" t="s">
        <v>528</v>
      </c>
      <c r="L4" s="4" t="s">
        <v>472</v>
      </c>
      <c r="M4" s="3" t="s">
        <v>84</v>
      </c>
      <c r="N4" s="3"/>
    </row>
    <row r="5" spans="1:14" ht="409.5" customHeight="1">
      <c r="A5" s="3" t="s">
        <v>84</v>
      </c>
      <c r="B5" s="3" t="s">
        <v>529</v>
      </c>
      <c r="C5" s="3" t="s">
        <v>530</v>
      </c>
      <c r="D5" s="3" t="s">
        <v>531</v>
      </c>
      <c r="E5" s="3" t="s">
        <v>532</v>
      </c>
      <c r="F5" s="3" t="s">
        <v>533</v>
      </c>
      <c r="G5" s="3" t="s">
        <v>534</v>
      </c>
      <c r="H5" s="4" t="s">
        <v>472</v>
      </c>
      <c r="I5" s="3" t="s">
        <v>84</v>
      </c>
      <c r="J5" s="3" t="s">
        <v>533</v>
      </c>
      <c r="K5" s="3" t="s">
        <v>535</v>
      </c>
      <c r="L5" s="4" t="s">
        <v>472</v>
      </c>
      <c r="M5" s="3" t="s">
        <v>84</v>
      </c>
      <c r="N5" s="3"/>
    </row>
    <row r="6" spans="1:14" ht="179.25" customHeight="1">
      <c r="A6" s="3" t="s">
        <v>84</v>
      </c>
      <c r="B6" s="3" t="s">
        <v>536</v>
      </c>
      <c r="C6" s="3" t="s">
        <v>537</v>
      </c>
      <c r="D6" s="3" t="s">
        <v>538</v>
      </c>
      <c r="E6" s="3" t="s">
        <v>539</v>
      </c>
      <c r="F6" s="3" t="s">
        <v>540</v>
      </c>
      <c r="G6" s="3" t="s">
        <v>541</v>
      </c>
      <c r="H6" s="4" t="s">
        <v>472</v>
      </c>
      <c r="I6" s="3" t="s">
        <v>84</v>
      </c>
      <c r="J6" s="3" t="s">
        <v>542</v>
      </c>
      <c r="K6" s="3" t="s">
        <v>543</v>
      </c>
      <c r="L6" s="4" t="s">
        <v>472</v>
      </c>
      <c r="M6" s="3" t="s">
        <v>84</v>
      </c>
      <c r="N6" s="3"/>
    </row>
    <row r="7" spans="1:14" ht="409.5" customHeight="1">
      <c r="A7" s="3" t="s">
        <v>84</v>
      </c>
      <c r="B7" s="3" t="s">
        <v>544</v>
      </c>
      <c r="C7" s="3" t="s">
        <v>545</v>
      </c>
      <c r="D7" s="3" t="s">
        <v>546</v>
      </c>
      <c r="E7" s="3" t="s">
        <v>547</v>
      </c>
      <c r="F7" s="3" t="s">
        <v>573</v>
      </c>
      <c r="G7" s="3" t="s">
        <v>548</v>
      </c>
      <c r="H7" s="4" t="s">
        <v>578</v>
      </c>
      <c r="I7" s="3" t="s">
        <v>84</v>
      </c>
      <c r="J7" s="3" t="s">
        <v>549</v>
      </c>
      <c r="K7" s="3" t="s">
        <v>550</v>
      </c>
      <c r="L7" s="4" t="s">
        <v>578</v>
      </c>
      <c r="M7" s="3" t="s">
        <v>84</v>
      </c>
      <c r="N7" s="3"/>
    </row>
  </sheetData>
  <mergeCells count="2">
    <mergeCell ref="A1:N1"/>
    <mergeCell ref="A2:N2"/>
  </mergeCells>
  <dataValidations count="1">
    <dataValidation type="list" sqref="I4:I7 M4:M7" xr:uid="{00000000-0002-0000-0600-000000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
  <sheetViews>
    <sheetView showGridLines="0" workbookViewId="0">
      <selection sqref="A1:N1"/>
    </sheetView>
  </sheetViews>
  <sheetFormatPr defaultRowHeight="14.25"/>
  <cols>
    <col min="1" max="1" width="30" customWidth="1"/>
    <col min="2" max="2" width="18" customWidth="1"/>
    <col min="3" max="3" width="56" customWidth="1"/>
    <col min="4" max="4" width="18" customWidth="1"/>
    <col min="5" max="5" width="56" customWidth="1"/>
    <col min="6" max="6" width="25" customWidth="1"/>
    <col min="7" max="7" width="12" customWidth="1"/>
    <col min="8" max="8" width="48" customWidth="1"/>
  </cols>
  <sheetData>
    <row r="1" spans="1:14" ht="27.95" customHeight="1">
      <c r="A1" s="12" t="s">
        <v>551</v>
      </c>
      <c r="B1" s="12"/>
      <c r="C1" s="12"/>
      <c r="D1" s="12"/>
      <c r="E1" s="12"/>
      <c r="F1" s="12"/>
      <c r="G1" s="12"/>
      <c r="H1" s="12"/>
      <c r="I1" s="12"/>
      <c r="J1" s="12"/>
      <c r="K1" s="12"/>
      <c r="L1" s="12"/>
      <c r="M1" s="12"/>
      <c r="N1" s="12"/>
    </row>
    <row r="2" spans="1:14" ht="39.950000000000003" customHeight="1">
      <c r="A2" s="13" t="s">
        <v>552</v>
      </c>
      <c r="B2" s="13"/>
      <c r="C2" s="13"/>
      <c r="D2" s="13"/>
      <c r="E2" s="13"/>
      <c r="F2" s="13"/>
      <c r="G2" s="13"/>
      <c r="H2" s="13"/>
      <c r="I2" s="13"/>
      <c r="J2" s="13"/>
      <c r="K2" s="13"/>
      <c r="L2" s="13"/>
      <c r="M2" s="13"/>
      <c r="N2" s="13"/>
    </row>
    <row r="3" spans="1:14" ht="15">
      <c r="A3" s="1" t="s">
        <v>54</v>
      </c>
      <c r="B3" s="1" t="s">
        <v>553</v>
      </c>
      <c r="C3" s="1" t="s">
        <v>76</v>
      </c>
      <c r="D3" s="1" t="s">
        <v>554</v>
      </c>
      <c r="E3" s="1" t="s">
        <v>80</v>
      </c>
      <c r="F3" s="1" t="s">
        <v>555</v>
      </c>
      <c r="G3" s="1" t="s">
        <v>70</v>
      </c>
      <c r="H3" s="1" t="s">
        <v>43</v>
      </c>
    </row>
    <row r="4" spans="1:14" ht="75.95" customHeight="1">
      <c r="A4" s="3" t="s">
        <v>556</v>
      </c>
      <c r="B4" s="3" t="s">
        <v>84</v>
      </c>
      <c r="C4" s="3" t="s">
        <v>557</v>
      </c>
      <c r="D4" s="3" t="s">
        <v>84</v>
      </c>
      <c r="E4" s="3" t="s">
        <v>558</v>
      </c>
      <c r="F4" s="3" t="s">
        <v>559</v>
      </c>
      <c r="G4" s="4" t="s">
        <v>380</v>
      </c>
      <c r="H4" s="3" t="s">
        <v>560</v>
      </c>
    </row>
    <row r="5" spans="1:14" ht="75.95" customHeight="1">
      <c r="A5" s="3" t="s">
        <v>60</v>
      </c>
      <c r="B5" s="3" t="s">
        <v>561</v>
      </c>
      <c r="C5" s="3" t="s">
        <v>557</v>
      </c>
      <c r="D5" s="3" t="s">
        <v>561</v>
      </c>
      <c r="E5" s="3" t="s">
        <v>558</v>
      </c>
      <c r="F5" s="3" t="s">
        <v>61</v>
      </c>
      <c r="G5" s="4" t="s">
        <v>380</v>
      </c>
      <c r="H5" s="3" t="s">
        <v>562</v>
      </c>
    </row>
    <row r="6" spans="1:14" ht="75.95" customHeight="1">
      <c r="A6" s="3" t="s">
        <v>563</v>
      </c>
      <c r="B6" s="3" t="s">
        <v>84</v>
      </c>
      <c r="C6" s="3" t="s">
        <v>557</v>
      </c>
      <c r="D6" s="3" t="s">
        <v>84</v>
      </c>
      <c r="E6" s="3" t="s">
        <v>558</v>
      </c>
      <c r="F6" s="3" t="s">
        <v>564</v>
      </c>
      <c r="G6" s="4" t="s">
        <v>380</v>
      </c>
      <c r="H6" s="3" t="s">
        <v>565</v>
      </c>
    </row>
    <row r="7" spans="1:14" ht="75.95" customHeight="1">
      <c r="A7" s="3" t="s">
        <v>63</v>
      </c>
      <c r="B7" s="3" t="s">
        <v>566</v>
      </c>
      <c r="C7" s="3" t="s">
        <v>557</v>
      </c>
      <c r="D7" s="3" t="s">
        <v>566</v>
      </c>
      <c r="E7" s="3" t="s">
        <v>558</v>
      </c>
      <c r="F7" s="3" t="s">
        <v>567</v>
      </c>
      <c r="G7" s="4" t="s">
        <v>380</v>
      </c>
      <c r="H7" s="3" t="s">
        <v>568</v>
      </c>
    </row>
  </sheetData>
  <mergeCells count="2">
    <mergeCell ref="A1:N1"/>
    <mergeCell ref="A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Summary</vt:lpstr>
      <vt:lpstr>EQ1 Requirements</vt:lpstr>
      <vt:lpstr>EQ1 Diagnostics</vt:lpstr>
      <vt:lpstr>EQ2 Configuration</vt:lpstr>
      <vt:lpstr>EQ3 Package</vt:lpstr>
      <vt:lpstr>EQ4 Execution</vt:lpstr>
      <vt:lpstr>PoC Recovery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Umair Ali</dc:creator>
  <cp:lastModifiedBy>Khan Umair Ali</cp:lastModifiedBy>
  <dcterms:created xsi:type="dcterms:W3CDTF">2026-07-28T12:17:18Z</dcterms:created>
  <dcterms:modified xsi:type="dcterms:W3CDTF">2026-07-31T21:45:49Z</dcterms:modified>
</cp:coreProperties>
</file>