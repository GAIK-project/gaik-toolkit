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8da2ceb34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59075c045f746ec"/>
    <x:sheet xmlns:r="http://schemas.openxmlformats.org/officeDocument/2006/relationships" name="Summary" sheetId="2" r:id="R0ea0c29e79da40f8"/>
    <x:sheet xmlns:r="http://schemas.openxmlformats.org/officeDocument/2006/relationships" name="EQ1 Requirements" sheetId="3" r:id="Rc013482288b14e99"/>
    <x:sheet xmlns:r="http://schemas.openxmlformats.org/officeDocument/2006/relationships" name="EQ1 Diagnostics" sheetId="4" r:id="R81462f7642234276"/>
    <x:sheet xmlns:r="http://schemas.openxmlformats.org/officeDocument/2006/relationships" name="EQ2 Configuration" sheetId="5" r:id="R43233f45d7f742b9"/>
    <x:sheet xmlns:r="http://schemas.openxmlformats.org/officeDocument/2006/relationships" name="EQ3 Package" sheetId="6" r:id="R2c5a203b4c8b4a1e"/>
    <x:sheet xmlns:r="http://schemas.openxmlformats.org/officeDocument/2006/relationships" name="EQ4 Execution" sheetId="7" r:id="R6482766d87bc41dc"/>
    <x:sheet xmlns:r="http://schemas.openxmlformats.org/officeDocument/2006/relationships" name="PoC Recovery" sheetId="8" r:id="R27bf3c26a609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a5770d25e4f02" /><Relationship Type="http://schemas.openxmlformats.org/officeDocument/2006/relationships/theme" Target="/xl/theme/theme1.xml" Id="R9dc22ea082af4c8f" /><Relationship Type="http://schemas.openxmlformats.org/officeDocument/2006/relationships/sharedStrings" Target="/xl/sharedStrings.xml" Id="Rfc9f605ffdf14ed2" /><Relationship Type="http://schemas.openxmlformats.org/officeDocument/2006/relationships/worksheet" Target="/xl/worksheets/sheet1.xml" Id="R959075c045f746ec" /><Relationship Type="http://schemas.openxmlformats.org/officeDocument/2006/relationships/worksheet" Target="/xl/worksheets/sheet2.xml" Id="R0ea0c29e79da40f8" /><Relationship Type="http://schemas.openxmlformats.org/officeDocument/2006/relationships/worksheet" Target="/xl/worksheets/sheet3.xml" Id="Rc013482288b14e99" /><Relationship Type="http://schemas.openxmlformats.org/officeDocument/2006/relationships/worksheet" Target="/xl/worksheets/sheet4.xml" Id="R81462f7642234276" /><Relationship Type="http://schemas.openxmlformats.org/officeDocument/2006/relationships/worksheet" Target="/xl/worksheets/sheet5.xml" Id="R43233f45d7f742b9" /><Relationship Type="http://schemas.openxmlformats.org/officeDocument/2006/relationships/worksheet" Target="/xl/worksheets/sheet6.xml" Id="R2c5a203b4c8b4a1e" /><Relationship Type="http://schemas.openxmlformats.org/officeDocument/2006/relationships/worksheet" Target="/xl/worksheets/sheet7.xml" Id="R6482766d87bc41dc" /><Relationship Type="http://schemas.openxmlformats.org/officeDocument/2006/relationships/worksheet" Target="/xl/worksheets/sheet8.xml" Id="R27bf3c26a609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 ht="28" customHeight="1">
      <x:c r="A1" s="3" t="str">
        <x:v>UC01 evaluation review workbook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The workbook displays oracle and wizard evidence side by side. Automated aids never replace the evaluator's Yes/No verdict.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15" hidden="0" customHeight="1">
      <x:c r="A4" s="18" t="str">
        <x:v>Step</x:v>
      </x:c>
      <x:c r="B4" s="18" t="str">
        <x:v>Action</x:v>
      </x:c>
    </x:row>
    <x:row r="5" ht="26.399999618530273" hidden="0" customHeight="1">
      <x:c r="A5" s="15" t="str">
        <x:v>1</x:v>
      </x:c>
      <x:c r="B5" s="15" t="str">
        <x:v>For each run, select its generated_package folder; then send initial_prompt.txt and use scripted_answers.md. No path or provenance metadata needs to be entered. At every routine confirmation, answer Yes and proceed without changes.</x:v>
      </x:c>
    </x:row>
    <x:row r="6" ht="15" hidden="0" customHeight="1">
      <x:c r="A6" s="15" t="str">
        <x:v>2</x:v>
      </x:c>
      <x:c r="B6" s="15" t="str">
        <x:v>Save each conversation and complete generated package under runs/run_01 and runs/run_02.</x:v>
      </x:c>
    </x:row>
    <x:row r="7" ht="15" hidden="0" customHeight="1">
      <x:c r="A7" s="15" t="str">
        <x:v>3</x:v>
      </x:c>
      <x:c r="B7" s="15" t="str">
        <x:v>Run run_poc_evaluation.py with attempt 0. This original, unmodified execution is the only execution used for EQ4.</x:v>
      </x:c>
    </x:row>
    <x:row r="8" ht="15" hidden="0" customHeight="1">
      <x:c r="A8" s="15" t="str">
        <x:v>4</x:v>
      </x:c>
      <x:c r="B8" s="15" t="str">
        <x:v>If attempt 0 fails, return its execution evidence to the wizard and run refinement attempts 1-3 in order. Stop at first success.</x:v>
      </x:c>
    </x:row>
    <x:row r="9" ht="15" hidden="0" customHeight="1">
      <x:c r="A9" s="15" t="str">
        <x:v>5</x:v>
      </x:c>
      <x:c r="B9" s="15" t="str">
        <x:v>If all three refinements fail, poc_recovery.json records N/A. Refined success never overwrites EQ4.</x:v>
      </x:c>
    </x:row>
    <x:row r="10" ht="15" hidden="0" customHeight="1">
      <x:c r="A10" s="15" t="str">
        <x:v>6</x:v>
      </x:c>
      <x:c r="B10" s="15" t="str">
        <x:v>Run collect_evidence.py --run all. Use --use-llm only to locate/align evidence; the LLM does not decide verdicts.</x:v>
      </x:c>
    </x:row>
    <x:row r="11" ht="15" hidden="0" customHeight="1">
      <x:c r="A11" s="15" t="str">
        <x:v>7</x:v>
      </x:c>
      <x:c r="B11" s="15" t="str">
        <x:v>Rebuild this workbook with build_workbook.mjs so the Run 1 and Run 2 value/evidence columns are populated.</x:v>
      </x:c>
    </x:row>
    <x:row r="12" ht="15" hidden="0" customHeight="1">
      <x:c r="A12" s="15" t="str">
        <x:v>8</x:v>
      </x:c>
      <x:c r="B12" s="15" t="str">
        <x:v>For every scored row, compare the oracle value with the generated value and inspect the adjacent evidence.</x:v>
      </x:c>
    </x:row>
    <x:row r="13" ht="15" hidden="0" customHeight="1">
      <x:c r="A13" s="15" t="str">
        <x:v>9</x:v>
      </x:c>
      <x:c r="B13" s="15" t="str">
        <x:v>Enter Yes only when the generated result satisfies the accepted meaning. Enter No when it does not or when it is missing.</x:v>
      </x:c>
    </x:row>
    <x:row r="14" ht="15" hidden="0" customHeight="1">
      <x:c r="A14" s="15" t="str">
        <x:v>10</x:v>
      </x:c>
      <x:c r="B14" s="15" t="str">
        <x:v>For missing requirements, keep NOT FOUND and its search evidence; do not remove the row. It remains in the denominator.</x:v>
      </x:c>
    </x:row>
    <x:row r="15" ht="15" hidden="0" customHeight="1">
      <x:c r="A15" s="15" t="str">
        <x:v>11</x:v>
      </x:c>
      <x:c r="B15" s="15" t="str">
        <x:v>The Auto aid column reports deterministic pass/fail/needs_review evidence. It is not the final verdict.</x:v>
      </x:c>
    </x:row>
    <x:row r="16" ht="15" hidden="0" customHeight="1">
      <x:c r="A16" s="15" t="str">
        <x:v>12</x:v>
      </x:c>
      <x:c r="B16" s="15" t="str">
        <x:v>Run score_workbook.mjs after every scored row in both runs has a Yes or No verdict.</x:v>
      </x:c>
    </x:row>
    <x:row r="17" ht="15" hidden="0" customHeight="1">
      <x:c r="A17" s="15" t="str">
        <x:v>Evidence rule</x:v>
      </x:c>
      <x:c r="B17" s="15" t="str">
        <x:v>Every verdict must be supported by an adjacent JSON path/value, conversation line, file check, command/exit code, log excerpt, or output comparison.</x:v>
      </x:c>
    </x:row>
    <x:row r="18" ht="15" hidden="0" customHeight="1">
      <x:c r="A18" s="15" t="str">
        <x:v>EQ1</x:v>
      </x:c>
      <x:c r="B18" s="15" t="str">
        <x:v>Requirement capture recall = pooled Yes verdicts / pooled scored requirement checks across two runs.</x:v>
      </x:c>
    </x:row>
    <x:row r="19" ht="15" hidden="0" customHeight="1">
      <x:c r="A19" s="15" t="str">
        <x:v>EQ2</x:v>
      </x:c>
      <x:c r="B19" s="15" t="str">
        <x:v>Configuration constraint satisfaction = pooled Yes verdicts / pooled configuration checks across two runs.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 ht="28" customHeight="1">
      <x:c r="A1" s="3" t="str">
        <x:v>UC01 evaluation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Scores appear only after all required human verdicts are entered. EQ3 and EQ4 use an all-mandatory-checks pass rule per run.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15" hidden="0" customHeight="1">
      <x:c r="A4" s="12" t="str">
        <x:v>EQ</x:v>
      </x:c>
      <x:c r="B4" s="12" t="str">
        <x:v>Metric</x:v>
      </x:c>
      <x:c r="C4" s="12" t="str">
        <x:v>Run 1</x:v>
      </x:c>
      <x:c r="D4" s="12" t="str">
        <x:v>Run 2</x:v>
      </x:c>
      <x:c r="E4" s="12" t="str">
        <x:v>Combined score</x:v>
      </x:c>
      <x:c r="F4" s="12" t="str">
        <x:v>Completed verdicts</x:v>
      </x:c>
      <x:c r="G4" s="12" t="str">
        <x:v>Required verdicts</x:v>
      </x:c>
      <x:c r="H4" s="12" t="str">
        <x:v>Interpretation</x:v>
      </x:c>
    </x:row>
    <x:row r="5" ht="15" hidden="0" customHeight="1">
      <x:c r="A5" s="21" t="str">
        <x:v>EQ1</x:v>
      </x:c>
      <x:c r="B5" s="21" t="str">
        <x:v>Requirement capture recall</x:v>
      </x:c>
      <x:c r="C5" s="24" t="str">
        <x:f>IF(COUNTIF('EQ1 Requirements'!I4:I45,"Yes")+COUNTIF('EQ1 Requirements'!I4:I45,"No")=42,COUNTIF('EQ1 Requirements'!I4:I45,"Yes")/42,"")</x:f>
      </x:c>
      <x:c r="D5" s="24" t="str">
        <x:f>IF(COUNTIF('EQ1 Requirements'!M4:M45,"Yes")+COUNTIF('EQ1 Requirements'!M4:M45,"No")=42,COUNTIF('EQ1 Requirements'!M4:M45,"Yes")/42,"")</x:f>
      </x:c>
      <x:c r="E5" s="24" t="str">
        <x:f>IF(AND(ISNUMBER(C5),ISNUMBER(D5)),(COUNTIF('EQ1 Requirements'!I4:I45,"Yes")+COUNTIF('EQ1 Requirements'!M4:M45,"Yes"))/84,"")</x:f>
      </x:c>
      <x:c r="F5" s="21" t="n">
        <x:f>COUNTIF('EQ1 Requirements'!I4:I45,"Yes")+COUNTIF('EQ1 Requirements'!I4:I45,"No")+COUNTIF('EQ1 Requirements'!M4:M45,"Yes")+COUNTIF('EQ1 Requirements'!M4:M45,"No")</x:f>
        <x:v>0</x:v>
      </x:c>
      <x:c r="G5" s="21" t="n">
        <x:v>84</x:v>
      </x:c>
      <x:c r="H5" s="21" t="str">
        <x:v>Pooled row-level recall</x:v>
      </x:c>
    </x:row>
    <x:row r="6" ht="15" hidden="0" customHeight="1">
      <x:c r="A6" s="21" t="str">
        <x:v>EQ2</x:v>
      </x:c>
      <x:c r="B6" s="21" t="str">
        <x:v>Configuration constraint satisfaction</x:v>
      </x:c>
      <x:c r="C6" s="24" t="str">
        <x:f>IF(COUNTIF('EQ2 Configuration'!I4:I12,"Yes")+COUNTIF('EQ2 Configuration'!I4:I12,"No")=9,COUNTIF('EQ2 Configuration'!I4:I12,"Yes")/9,"")</x:f>
      </x:c>
      <x:c r="D6" s="24" t="str">
        <x:f>IF(COUNTIF('EQ2 Configuration'!M4:M12,"Yes")+COUNTIF('EQ2 Configuration'!M4:M12,"No")=9,COUNTIF('EQ2 Configuration'!M4:M12,"Yes")/9,"")</x:f>
      </x:c>
      <x:c r="E6" s="24" t="str">
        <x:f>IF(AND(ISNUMBER(C6),ISNUMBER(D6)),(COUNTIF('EQ2 Configuration'!I4:I12,"Yes")+COUNTIF('EQ2 Configuration'!M4:M12,"Yes"))/18,"")</x:f>
      </x:c>
      <x:c r="F6" s="21" t="n">
        <x:f>COUNTIF('EQ2 Configuration'!I4:I12,"Yes")+COUNTIF('EQ2 Configuration'!I4:I12,"No")+COUNTIF('EQ2 Configuration'!M4:M12,"Yes")+COUNTIF('EQ2 Configuration'!M4:M12,"No")</x:f>
        <x:v>0</x:v>
      </x:c>
      <x:c r="G6" s="21" t="n">
        <x:v>18</x:v>
      </x:c>
      <x:c r="H6" s="21" t="str">
        <x:v>Pooled constraint satisfaction</x:v>
      </x:c>
    </x:row>
    <x:row r="7" ht="15" hidden="0" customHeight="1">
      <x:c r="A7" s="21" t="str">
        <x:v>EQ3</x:v>
      </x:c>
      <x:c r="B7" s="21" t="str">
        <x:v>Valid solution package rate</x:v>
      </x:c>
      <x:c r="C7" s="24" t="str">
        <x:f>IF(COUNTIF('EQ3 Package'!I4:I11,"Yes")+COUNTIF('EQ3 Package'!I4:I11,"No")=8,IF(COUNTIF('EQ3 Package'!I4:I11,"No")=0,1,0),"")</x:f>
      </x:c>
      <x:c r="D7" s="24" t="str">
        <x:f>IF(COUNTIF('EQ3 Package'!M4:M11,"Yes")+COUNTIF('EQ3 Package'!M4:M11,"No")=8,IF(COUNTIF('EQ3 Package'!M4:M11,"No")=0,1,0),"")</x:f>
      </x:c>
      <x:c r="E7" s="24" t="str">
        <x:f>IF(AND(ISNUMBER(C7),ISNUMBER(D7)),AVERAGE(C7:D7),"")</x:f>
      </x:c>
      <x:c r="F7" s="21" t="n">
        <x:f>COUNTIF('EQ3 Package'!I4:I11,"Yes")+COUNTIF('EQ3 Package'!I4:I11,"No")+COUNTIF('EQ3 Package'!M4:M11,"Yes")+COUNTIF('EQ3 Package'!M4:M11,"No")</x:f>
        <x:v>0</x:v>
      </x:c>
      <x:c r="G7" s="21" t="n">
        <x:v>16</x:v>
      </x:c>
      <x:c r="H7" s="21" t="str">
        <x:v>Run passes only if all EQ3 rows are Yes</x:v>
      </x:c>
    </x:row>
    <x:row r="8" ht="15" hidden="0" customHeight="1">
      <x:c r="A8" s="21" t="str">
        <x:v>EQ4</x:v>
      </x:c>
      <x:c r="B8" s="21" t="str">
        <x:v>PoC execution success rate</x:v>
      </x:c>
      <x:c r="C8" s="24" t="str">
        <x:f>IF(COUNTIF('EQ4 Execution'!I4:I7,"Yes")+COUNTIF('EQ4 Execution'!I4:I7,"No")=4,IF(COUNTIF('EQ4 Execution'!I4:I7,"No")=0,1,0),"")</x:f>
      </x:c>
      <x:c r="D8" s="24" t="str">
        <x:f>IF(COUNTIF('EQ4 Execution'!M4:M7,"Yes")+COUNTIF('EQ4 Execution'!M4:M7,"No")=4,IF(COUNTIF('EQ4 Execution'!M4:M7,"No")=0,1,0),"")</x:f>
      </x:c>
      <x:c r="E8" s="24" t="str">
        <x:f>IF(AND(ISNUMBER(C8),ISNUMBER(D8)),AVERAGE(C8:D8),"")</x:f>
      </x:c>
      <x:c r="F8" s="21" t="n">
        <x:f>COUNTIF('EQ4 Execution'!I4:I7,"Yes")+COUNTIF('EQ4 Execution'!I4:I7,"No")+COUNTIF('EQ4 Execution'!M4:M7,"Yes")+COUNTIF('EQ4 Execution'!M4:M7,"No")</x:f>
        <x:v>0</x:v>
      </x:c>
      <x:c r="G8" s="21" t="n">
        <x:v>8</x:v>
      </x:c>
      <x:c r="H8" s="21" t="str">
        <x:v>Run passes only if all EQ4 rows are Yes</x:v>
      </x:c>
    </x:row>
    <x:row r="9"/>
    <x:row r="10" ht="15" hidden="0" customHeight="1">
      <x:c r="A10" s="26" t="str">
        <x:v>Diagnostic</x:v>
      </x:c>
      <x:c r="B10" s="26" t="str">
        <x:v>Run 1</x:v>
      </x:c>
      <x:c r="C10" s="26" t="str">
        <x:v>Run 2</x:v>
      </x:c>
      <x:c r="D10" s="26" t="str">
        <x:v>Reporting</x:v>
      </x:c>
      <x:c r="E10" s="26" t="str"/>
      <x:c r="F10" s="26" t="str"/>
      <x:c r="G10" s="26" t="str"/>
      <x:c r="H10" s="26" t="str">
        <x:v>Not included in headline scores</x:v>
      </x:c>
    </x:row>
    <x:row r="11" ht="26.399999618530273" hidden="0" customHeight="1">
      <x:c r="A11" s="14" t="str">
        <x:v>Unsupported assumptions</x:v>
      </x:c>
      <x:c r="B11" s="14" t="str">
        <x:f>"Yes: "&amp;COUNTIF('EQ1 Diagnostics'!I4:I6,"Yes")&amp;"; No: "&amp;COUNTIF('EQ1 Diagnostics'!I4:I6,"No")</x:f>
        <x:v>Yes: 0; No: 0</x:v>
      </x:c>
      <x:c r="C11" s="14" t="str">
        <x:f>"Yes: "&amp;COUNTIF('EQ1 Diagnostics'!M4:M6,"Yes")&amp;"; No: "&amp;COUNTIF('EQ1 Diagnostics'!M4:M6,"No")</x:f>
        <x:v>Yes: 0; No: 0</x:v>
      </x:c>
      <x:c r="D11" s="14" t="str">
        <x:v>Yes/No diagnostic verdict counts</x:v>
      </x:c>
      <x:c r="E11" s="14" t="str"/>
      <x:c r="F11" s="14" t="str"/>
      <x:c r="G11" s="14" t="str"/>
      <x:c r="H11" s="14" t="str">
        <x:v>Review provider/model, retention, SLA/scale commitments</x:v>
      </x:c>
    </x:row>
    <x:row r="12" ht="39.599998474121094" hidden="0" customHeight="1">
      <x:c r="A12" s="14" t="str">
        <x:v>Refinement attempts to success</x:v>
      </x:c>
      <x:c r="B12" s="14" t="str"/>
      <x:c r="C12" s="14" t="str"/>
      <x:c r="D12" s="14" t="str">
        <x:v>0, 1, 2, 3, or N/A</x:v>
      </x:c>
      <x:c r="E12" s="14" t="str"/>
      <x:c r="F12" s="14" t="str"/>
      <x:c r="G12" s="14" t="str"/>
      <x:c r="H12" s="14" t="str">
        <x:v>Original EQ4 is unchanged</x:v>
      </x:c>
    </x:row>
    <x:row r="13" ht="52.79999923706055" hidden="0" customHeight="1">
      <x:c r="A13" s="14" t="str">
        <x:v>Recovery status</x:v>
      </x:c>
      <x:c r="B13" s="14" t="str"/>
      <x:c r="C13" s="14" t="str"/>
      <x:c r="D13" s="14" t="str">
        <x:v>Initially successful, recovered, pending, or unsuccessful</x:v>
      </x:c>
      <x:c r="E13" s="14" t="str"/>
      <x:c r="F13" s="14" t="str"/>
      <x:c r="G13" s="14" t="str"/>
      <x:c r="H13" s="14" t="str">
        <x:v>Maximum three refinement attempts</x:v>
      </x:c>
    </x:row>
    <x:row r="14" ht="26.399999618530273" hidden="0" customHeight="1">
      <x:c r="A14" s="14" t="str">
        <x:v>Note</x:v>
      </x:c>
      <x:c r="B14" s="14" t="str"/>
      <x:c r="C14" s="14" t="str"/>
      <x:c r="D14" s="14" t="str"/>
      <x:c r="E14" s="14" t="str"/>
      <x:c r="F14" s="14" t="str"/>
      <x:c r="G14" s="14" t="str"/>
      <x:c r="H14" s="14" t="str">
        <x:v>Blank verdicts mean the evaluation is incomplete, not zero performance.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Requirements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Requirement capture recall. Review semantically equivalent values; an omitted oracle requirement remains a row and receives 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EQ1-R01</x:v>
      </x:c>
      <x:c r="C4" s="15" t="str">
        <x:v>Primary user</x:v>
      </x:c>
      <x:c r="D4" s="15" t="str">
        <x:v>Field technician</x:v>
      </x:c>
      <x:c r="E4" s="15" t="str">
        <x:v>initial_prompt.txt; scripted_answers.json#SA01</x:v>
      </x:c>
      <x:c r="F4" s="15" t="str"/>
      <x:c r="G4" s="15" t="str"/>
      <x:c r="H4" s="16" t="str"/>
      <x:c r="I4" s="15" t="str"/>
      <x:c r="J4" s="15" t="str"/>
      <x:c r="K4" s="15" t="str"/>
      <x:c r="L4" s="16" t="str"/>
      <x:c r="M4" s="15" t="str"/>
      <x:c r="N4" s="15" t="str"/>
    </x:row>
    <x:row r="5" ht="26.399999618530273" hidden="0" customHeight="1">
      <x:c r="A5" s="15" t="str">
        <x:v>Yes</x:v>
      </x:c>
      <x:c r="B5" s="15" t="str">
        <x:v>EQ1-R02</x:v>
      </x:c>
      <x:c r="C5" s="15" t="str">
        <x:v>Current process</x:v>
      </x:c>
      <x:c r="D5" s="15" t="str">
        <x:v>Technician manually enters fault information into the maintenance system.</x:v>
      </x:c>
      <x:c r="E5" s="15" t="str">
        <x:v>initial_prompt.txt; scripted_answers.json#SA01</x:v>
      </x:c>
      <x:c r="F5" s="15" t="str"/>
      <x:c r="G5" s="15" t="str"/>
      <x:c r="H5" s="16" t="str"/>
      <x:c r="I5" s="15" t="str"/>
      <x:c r="J5" s="15" t="str"/>
      <x:c r="K5" s="15" t="str"/>
      <x:c r="L5" s="16" t="str"/>
      <x:c r="M5" s="15" t="str"/>
      <x:c r="N5" s="15" t="str"/>
    </x:row>
    <x:row r="6" ht="26.399999618530273" hidden="0" customHeight="1">
      <x:c r="A6" s="15" t="str">
        <x:v>Yes</x:v>
      </x:c>
      <x:c r="B6" s="15" t="str">
        <x:v>EQ1-R03</x:v>
      </x:c>
      <x:c r="C6" s="15" t="str">
        <x:v>Business problem</x:v>
      </x:c>
      <x:c r="D6" s="15" t="str">
        <x:v>Manual reporting is slow and can omit details.</x:v>
      </x:c>
      <x:c r="E6" s="15" t="str">
        <x:v>initial_prompt.txt; scripted_answers.json#SA01</x:v>
      </x:c>
      <x:c r="F6" s="15" t="str"/>
      <x:c r="G6" s="15" t="str"/>
      <x:c r="H6" s="16" t="str"/>
      <x:c r="I6" s="15" t="str"/>
      <x:c r="J6" s="15" t="str"/>
      <x:c r="K6" s="15" t="str"/>
      <x:c r="L6" s="16" t="str"/>
      <x:c r="M6" s="15" t="str"/>
      <x:c r="N6" s="15" t="str"/>
    </x:row>
    <x:row r="7" ht="39.599998474121094" hidden="0" customHeight="1">
      <x:c r="A7" s="15" t="str">
        <x:v>Yes</x:v>
      </x:c>
      <x:c r="B7" s="15" t="str">
        <x:v>EQ1-R04</x:v>
      </x:c>
      <x:c r="C7" s="15" t="str">
        <x:v>Human reviewer</x:v>
      </x:c>
      <x:c r="D7" s="15" t="str">
        <x:v>Maintenance supervisor</x:v>
      </x:c>
      <x:c r="E7" s="15" t="str">
        <x:v>initial_prompt.txt; scripted_answers.json#SA01; scripted_answers.json#SA05</x:v>
      </x:c>
      <x:c r="F7" s="15" t="str"/>
      <x:c r="G7" s="15" t="str"/>
      <x:c r="H7" s="16" t="str"/>
      <x:c r="I7" s="15" t="str"/>
      <x:c r="J7" s="15" t="str"/>
      <x:c r="K7" s="15" t="str"/>
      <x:c r="L7" s="16" t="str"/>
      <x:c r="M7" s="15" t="str"/>
      <x:c r="N7" s="15" t="str"/>
    </x:row>
    <x:row r="8" ht="15" hidden="0" customHeight="1">
      <x:c r="A8" s="15" t="str">
        <x:v>Yes</x:v>
      </x:c>
      <x:c r="B8" s="15" t="str">
        <x:v>EQ1-R05</x:v>
      </x:c>
      <x:c r="C8" s="15" t="str">
        <x:v>Expected value</x:v>
      </x:c>
      <x:c r="D8" s="15" t="str">
        <x:v>Faster reporting with fewer missing details.</x:v>
      </x:c>
      <x:c r="E8" s="15" t="str">
        <x:v>scripted_answers.json#SA01</x:v>
      </x:c>
      <x:c r="F8" s="15" t="str"/>
      <x:c r="G8" s="15" t="str"/>
      <x:c r="H8" s="16" t="str"/>
      <x:c r="I8" s="15" t="str"/>
      <x:c r="J8" s="15" t="str"/>
      <x:c r="K8" s="15" t="str"/>
      <x:c r="L8" s="16" t="str"/>
      <x:c r="M8" s="15" t="str"/>
      <x:c r="N8" s="15" t="str"/>
    </x:row>
    <x:row r="9" ht="26.399999618530273" hidden="0" customHeight="1">
      <x:c r="A9" s="15" t="str">
        <x:v>Yes</x:v>
      </x:c>
      <x:c r="B9" s="15" t="str">
        <x:v>EQ1-R06</x:v>
      </x:c>
      <x:c r="C9" s="15" t="str">
        <x:v>Primary input</x:v>
      </x:c>
      <x:c r="D9" s="15" t="str">
        <x:v>Voice message/audio file</x:v>
      </x:c>
      <x:c r="E9" s="15" t="str">
        <x:v>initial_prompt.txt; scripted_answers.json#SA02</x:v>
      </x:c>
      <x:c r="F9" s="15" t="str"/>
      <x:c r="G9" s="15" t="str"/>
      <x:c r="H9" s="16" t="str"/>
      <x:c r="I9" s="15" t="str"/>
      <x:c r="J9" s="15" t="str"/>
      <x:c r="K9" s="15" t="str"/>
      <x:c r="L9" s="16" t="str"/>
      <x:c r="M9" s="15" t="str"/>
      <x:c r="N9" s="15" t="str"/>
    </x:row>
    <x:row r="10" ht="26.399999618530273" hidden="0" customHeight="1">
      <x:c r="A10" s="15" t="str">
        <x:v>Yes</x:v>
      </x:c>
      <x:c r="B10" s="15" t="str">
        <x:v>EQ1-R07</x:v>
      </x:c>
      <x:c r="C10" s="15" t="str">
        <x:v>Input language</x:v>
      </x:c>
      <x:c r="D10" s="15" t="str">
        <x:v>Finnish (fi)</x:v>
      </x:c>
      <x:c r="E10" s="15" t="str">
        <x:v>initial_prompt.txt; scripted_answers.json#SA02</x:v>
      </x:c>
      <x:c r="F10" s="15" t="str"/>
      <x:c r="G10" s="15" t="str"/>
      <x:c r="H10" s="16" t="str"/>
      <x:c r="I10" s="15" t="str"/>
      <x:c r="J10" s="15" t="str"/>
      <x:c r="K10" s="15" t="str"/>
      <x:c r="L10" s="16" t="str"/>
      <x:c r="M10" s="15" t="str"/>
      <x:c r="N10" s="15" t="str"/>
    </x:row>
    <x:row r="11" ht="15" hidden="0" customHeight="1">
      <x:c r="A11" s="15" t="str">
        <x:v>Yes</x:v>
      </x:c>
      <x:c r="B11" s="15" t="str">
        <x:v>EQ1-R08</x:v>
      </x:c>
      <x:c r="C11" s="15" t="str">
        <x:v>Speaker pattern</x:v>
      </x:c>
      <x:c r="D11" s="15" t="str">
        <x:v>One speaker; diarization not required.</x:v>
      </x:c>
      <x:c r="E11" s="15" t="str">
        <x:v>scripted_answers.json#SA02</x:v>
      </x:c>
      <x:c r="F11" s="15" t="str"/>
      <x:c r="G11" s="15" t="str"/>
      <x:c r="H11" s="16" t="str"/>
      <x:c r="I11" s="15" t="str"/>
      <x:c r="J11" s="15" t="str"/>
      <x:c r="K11" s="15" t="str"/>
      <x:c r="L11" s="16" t="str"/>
      <x:c r="M11" s="15" t="str"/>
      <x:c r="N11" s="15" t="str"/>
    </x:row>
    <x:row r="12" ht="39.599998474121094" hidden="0" customHeight="1">
      <x:c r="A12" s="15" t="str">
        <x:v>Yes</x:v>
      </x:c>
      <x:c r="B12" s="15" t="str">
        <x:v>EQ1-R09</x:v>
      </x:c>
      <x:c r="C12" s="15" t="str">
        <x:v>Target output</x:v>
      </x:c>
      <x:c r="D12" s="15" t="str">
        <x:v>Structured maintenance ticket in JSON-compatible form.</x:v>
      </x:c>
      <x:c r="E12" s="15" t="str">
        <x:v>initial_prompt.txt; scripted_answers.json#SA03; scripted_answers.json#SA05</x:v>
      </x:c>
      <x:c r="F12" s="15" t="str"/>
      <x:c r="G12" s="15" t="str"/>
      <x:c r="H12" s="16" t="str"/>
      <x:c r="I12" s="15" t="str"/>
      <x:c r="J12" s="15" t="str"/>
      <x:c r="K12" s="15" t="str"/>
      <x:c r="L12" s="16" t="str"/>
      <x:c r="M12" s="15" t="str"/>
      <x:c r="N12" s="15" t="str"/>
    </x:row>
    <x:row r="13" ht="15" hidden="0" customHeight="1">
      <x:c r="A13" s="15" t="str">
        <x:v>Yes</x:v>
      </x:c>
      <x:c r="B13" s="15" t="str">
        <x:v>EQ1-R10</x:v>
      </x:c>
      <x:c r="C13" s="15" t="str">
        <x:v>Output field: reporter name</x:v>
      </x:c>
      <x:c r="D13" s="15" t="str">
        <x:v>reporter_name</x:v>
      </x:c>
      <x:c r="E13" s="15" t="str">
        <x:v>scripted_answers.json#SA03</x:v>
      </x:c>
      <x:c r="F13" s="15" t="str"/>
      <x:c r="G13" s="15" t="str"/>
      <x:c r="H13" s="16" t="str"/>
      <x:c r="I13" s="15" t="str"/>
      <x:c r="J13" s="15" t="str"/>
      <x:c r="K13" s="15" t="str"/>
      <x:c r="L13" s="16" t="str"/>
      <x:c r="M13" s="15" t="str"/>
      <x:c r="N13" s="15" t="str"/>
    </x:row>
    <x:row r="14" ht="15" hidden="0" customHeight="1">
      <x:c r="A14" s="15" t="str">
        <x:v>Yes</x:v>
      </x:c>
      <x:c r="B14" s="15" t="str">
        <x:v>EQ1-R11</x:v>
      </x:c>
      <x:c r="C14" s="15" t="str">
        <x:v>Output field: asset identifier</x:v>
      </x:c>
      <x:c r="D14" s="15" t="str">
        <x:v>asset_identifier</x:v>
      </x:c>
      <x:c r="E14" s="15" t="str">
        <x:v>scripted_answers.json#SA03</x:v>
      </x:c>
      <x:c r="F14" s="15" t="str"/>
      <x:c r="G14" s="15" t="str"/>
      <x:c r="H14" s="16" t="str"/>
      <x:c r="I14" s="15" t="str"/>
      <x:c r="J14" s="15" t="str"/>
      <x:c r="K14" s="15" t="str"/>
      <x:c r="L14" s="16" t="str"/>
      <x:c r="M14" s="15" t="str"/>
      <x:c r="N14" s="15" t="str"/>
    </x:row>
    <x:row r="15" ht="26.399999618530273" hidden="0" customHeight="1">
      <x:c r="A15" s="15" t="str">
        <x:v>Yes</x:v>
      </x:c>
      <x:c r="B15" s="15" t="str">
        <x:v>EQ1-R12</x:v>
      </x:c>
      <x:c r="C15" s="15" t="str">
        <x:v>Output field: location</x:v>
      </x:c>
      <x:c r="D15" s="15" t="str">
        <x:v>location; required</x:v>
      </x:c>
      <x:c r="E15" s="15" t="str">
        <x:v>initial_prompt.txt; scripted_answers.json#SA03</x:v>
      </x:c>
      <x:c r="F15" s="15" t="str"/>
      <x:c r="G15" s="15" t="str"/>
      <x:c r="H15" s="16" t="str"/>
      <x:c r="I15" s="15" t="str"/>
      <x:c r="J15" s="15" t="str"/>
      <x:c r="K15" s="15" t="str"/>
      <x:c r="L15" s="16" t="str"/>
      <x:c r="M15" s="15" t="str"/>
      <x:c r="N15" s="15" t="str"/>
    </x:row>
    <x:row r="16" ht="26.399999618530273" hidden="0" customHeight="1">
      <x:c r="A16" s="15" t="str">
        <x:v>Yes</x:v>
      </x:c>
      <x:c r="B16" s="15" t="str">
        <x:v>EQ1-R13</x:v>
      </x:c>
      <x:c r="C16" s="15" t="str">
        <x:v>Output field: fault description</x:v>
      </x:c>
      <x:c r="D16" s="15" t="str">
        <x:v>fault_description; required</x:v>
      </x:c>
      <x:c r="E16" s="15" t="str">
        <x:v>initial_prompt.txt; scripted_answers.json#SA03</x:v>
      </x:c>
      <x:c r="F16" s="15" t="str"/>
      <x:c r="G16" s="15" t="str"/>
      <x:c r="H16" s="16" t="str"/>
      <x:c r="I16" s="15" t="str"/>
      <x:c r="J16" s="15" t="str"/>
      <x:c r="K16" s="15" t="str"/>
      <x:c r="L16" s="16" t="str"/>
      <x:c r="M16" s="15" t="str"/>
      <x:c r="N16" s="15" t="str"/>
    </x:row>
    <x:row r="17" ht="26.399999618530273" hidden="0" customHeight="1">
      <x:c r="A17" s="15" t="str">
        <x:v>Yes</x:v>
      </x:c>
      <x:c r="B17" s="15" t="str">
        <x:v>EQ1-R14</x:v>
      </x:c>
      <x:c r="C17" s="15" t="str">
        <x:v>Output field: urgency</x:v>
      </x:c>
      <x:c r="D17" s="15" t="str">
        <x:v>urgency; required</x:v>
      </x:c>
      <x:c r="E17" s="15" t="str">
        <x:v>initial_prompt.txt; scripted_answers.json#SA03</x:v>
      </x:c>
      <x:c r="F17" s="15" t="str"/>
      <x:c r="G17" s="15" t="str"/>
      <x:c r="H17" s="16" t="str"/>
      <x:c r="I17" s="15" t="str"/>
      <x:c r="J17" s="15" t="str"/>
      <x:c r="K17" s="15" t="str"/>
      <x:c r="L17" s="16" t="str"/>
      <x:c r="M17" s="15" t="str"/>
      <x:c r="N17" s="15" t="str"/>
    </x:row>
    <x:row r="18" ht="26.399999618530273" hidden="0" customHeight="1">
      <x:c r="A18" s="15" t="str">
        <x:v>Yes</x:v>
      </x:c>
      <x:c r="B18" s="15" t="str">
        <x:v>EQ1-R15</x:v>
      </x:c>
      <x:c r="C18" s="15" t="str">
        <x:v>Output field: observation date and time</x:v>
      </x:c>
      <x:c r="D18" s="15" t="str">
        <x:v>observation_date and observation_time, or one equivalent timestamp field</x:v>
      </x:c>
      <x:c r="E18" s="15" t="str">
        <x:v>scripted_answers.json#SA03</x:v>
      </x:c>
      <x:c r="F18" s="15" t="str"/>
      <x:c r="G18" s="15" t="str"/>
      <x:c r="H18" s="16" t="str"/>
      <x:c r="I18" s="15" t="str"/>
      <x:c r="J18" s="15" t="str"/>
      <x:c r="K18" s="15" t="str"/>
      <x:c r="L18" s="16" t="str"/>
      <x:c r="M18" s="15" t="str"/>
      <x:c r="N18" s="15" t="str"/>
    </x:row>
    <x:row r="19" ht="15" hidden="0" customHeight="1">
      <x:c r="A19" s="15" t="str">
        <x:v>Yes</x:v>
      </x:c>
      <x:c r="B19" s="15" t="str">
        <x:v>EQ1-R16</x:v>
      </x:c>
      <x:c r="C19" s="15" t="str">
        <x:v>Output field: actions taken</x:v>
      </x:c>
      <x:c r="D19" s="15" t="str">
        <x:v>actions_taken</x:v>
      </x:c>
      <x:c r="E19" s="15" t="str">
        <x:v>scripted_answers.json#SA03</x:v>
      </x:c>
      <x:c r="F19" s="15" t="str"/>
      <x:c r="G19" s="15" t="str"/>
      <x:c r="H19" s="16" t="str"/>
      <x:c r="I19" s="15" t="str"/>
      <x:c r="J19" s="15" t="str"/>
      <x:c r="K19" s="15" t="str"/>
      <x:c r="L19" s="16" t="str"/>
      <x:c r="M19" s="15" t="str"/>
      <x:c r="N19" s="15" t="str"/>
    </x:row>
    <x:row r="20" ht="26.399999618530273" hidden="0" customHeight="1">
      <x:c r="A20" s="15" t="str">
        <x:v>Yes</x:v>
      </x:c>
      <x:c r="B20" s="15" t="str">
        <x:v>EQ1-R17</x:v>
      </x:c>
      <x:c r="C20" s="15" t="str">
        <x:v>Missing-value policy</x:v>
      </x:c>
      <x:c r="D20" s="15" t="str">
        <x:v>Leave missing values empty or unknown; never invent a value.</x:v>
      </x:c>
      <x:c r="E20" s="15" t="str">
        <x:v>scripted_answers.json#SA03; scripted_answers.json#SA04</x:v>
      </x:c>
      <x:c r="F20" s="15" t="str"/>
      <x:c r="G20" s="15" t="str"/>
      <x:c r="H20" s="16" t="str"/>
      <x:c r="I20" s="15" t="str"/>
      <x:c r="J20" s="15" t="str"/>
      <x:c r="K20" s="15" t="str"/>
      <x:c r="L20" s="16" t="str"/>
      <x:c r="M20" s="15" t="str"/>
      <x:c r="N20" s="15" t="str"/>
    </x:row>
    <x:row r="21" ht="26.399999618530273" hidden="0" customHeight="1">
      <x:c r="A21" s="15" t="str">
        <x:v>Yes</x:v>
      </x:c>
      <x:c r="B21" s="15" t="str">
        <x:v>EQ1-R18</x:v>
      </x:c>
      <x:c r="C21" s="15" t="str">
        <x:v>Uncertainty handling</x:v>
      </x:c>
      <x:c r="D21" s="15" t="str">
        <x:v>Flag missing or uncertain fields for supervisor review.</x:v>
      </x:c>
      <x:c r="E21" s="15" t="str">
        <x:v>scripted_answers.json#SA04</x:v>
      </x:c>
      <x:c r="F21" s="15" t="str"/>
      <x:c r="G21" s="15" t="str"/>
      <x:c r="H21" s="16" t="str"/>
      <x:c r="I21" s="15" t="str"/>
      <x:c r="J21" s="15" t="str"/>
      <x:c r="K21" s="15" t="str"/>
      <x:c r="L21" s="16" t="str"/>
      <x:c r="M21" s="15" t="str"/>
      <x:c r="N21" s="15" t="str"/>
    </x:row>
    <x:row r="22" ht="26.399999618530273" hidden="0" customHeight="1">
      <x:c r="A22" s="15" t="str">
        <x:v>Yes</x:v>
      </x:c>
      <x:c r="B22" s="15" t="str">
        <x:v>EQ1-R19</x:v>
      </x:c>
      <x:c r="C22" s="15" t="str">
        <x:v>Review evidence</x:v>
      </x:c>
      <x:c r="D22" s="15" t="str">
        <x:v>Original transcript is available to the supervisor.</x:v>
      </x:c>
      <x:c r="E22" s="15" t="str">
        <x:v>scripted_answers.json#SA04</x:v>
      </x:c>
      <x:c r="F22" s="15" t="str"/>
      <x:c r="G22" s="15" t="str"/>
      <x:c r="H22" s="16" t="str"/>
      <x:c r="I22" s="15" t="str"/>
      <x:c r="J22" s="15" t="str"/>
      <x:c r="K22" s="15" t="str"/>
      <x:c r="L22" s="16" t="str"/>
      <x:c r="M22" s="15" t="str"/>
      <x:c r="N22" s="15" t="str"/>
    </x:row>
    <x:row r="23" ht="26.399999618530273" hidden="0" customHeight="1">
      <x:c r="A23" s="15" t="str">
        <x:v>Yes</x:v>
      </x:c>
      <x:c r="B23" s="15" t="str">
        <x:v>EQ1-R20</x:v>
      </x:c>
      <x:c r="C23" s="15" t="str">
        <x:v>Review gate</x:v>
      </x:c>
      <x:c r="D23" s="15" t="str">
        <x:v>Supervisor reviews before transfer.</x:v>
      </x:c>
      <x:c r="E23" s="15" t="str">
        <x:v>initial_prompt.txt; scripted_answers.json#SA05</x:v>
      </x:c>
      <x:c r="F23" s="15" t="str"/>
      <x:c r="G23" s="15" t="str"/>
      <x:c r="H23" s="16" t="str"/>
      <x:c r="I23" s="15" t="str"/>
      <x:c r="J23" s="15" t="str"/>
      <x:c r="K23" s="15" t="str"/>
      <x:c r="L23" s="16" t="str"/>
      <x:c r="M23" s="15" t="str"/>
      <x:c r="N23" s="15" t="str"/>
    </x:row>
    <x:row r="24" ht="15" hidden="0" customHeight="1">
      <x:c r="A24" s="15" t="str">
        <x:v>Yes</x:v>
      </x:c>
      <x:c r="B24" s="15" t="str">
        <x:v>EQ1-R21</x:v>
      </x:c>
      <x:c r="C24" s="15" t="str">
        <x:v>Review outcomes</x:v>
      </x:c>
      <x:c r="D24" s="15" t="str">
        <x:v>Approve or return for correction.</x:v>
      </x:c>
      <x:c r="E24" s="15" t="str">
        <x:v>scripted_answers.json#SA05</x:v>
      </x:c>
      <x:c r="F24" s="15" t="str"/>
      <x:c r="G24" s="15" t="str"/>
      <x:c r="H24" s="16" t="str"/>
      <x:c r="I24" s="15" t="str"/>
      <x:c r="J24" s="15" t="str"/>
      <x:c r="K24" s="15" t="str"/>
      <x:c r="L24" s="16" t="str"/>
      <x:c r="M24" s="15" t="str"/>
      <x:c r="N24" s="15" t="str"/>
    </x:row>
    <x:row r="25" ht="39.599998474121094" hidden="0" customHeight="1">
      <x:c r="A25" s="15" t="str">
        <x:v>Yes</x:v>
      </x:c>
      <x:c r="B25" s="15" t="str">
        <x:v>EQ1-R22</x:v>
      </x:c>
      <x:c r="C25" s="15" t="str">
        <x:v>Integration scope</x:v>
      </x:c>
      <x:c r="D25" s="15" t="str">
        <x:v>Production target is the maintenance management system; PoC exports approved JSON and does not implement the live API.</x:v>
      </x:c>
      <x:c r="E25" s="15" t="str">
        <x:v>initial_prompt.txt; scripted_answers.json#SA05</x:v>
      </x:c>
      <x:c r="F25" s="15" t="str"/>
      <x:c r="G25" s="15" t="str"/>
      <x:c r="H25" s="16" t="str"/>
      <x:c r="I25" s="15" t="str"/>
      <x:c r="J25" s="15" t="str"/>
      <x:c r="K25" s="15" t="str"/>
      <x:c r="L25" s="16" t="str"/>
      <x:c r="M25" s="15" t="str"/>
      <x:c r="N25" s="15" t="str"/>
    </x:row>
    <x:row r="26" ht="26.399999618530273" hidden="0" customHeight="1">
      <x:c r="A26" s="15" t="str">
        <x:v>Yes</x:v>
      </x:c>
      <x:c r="B26" s="15" t="str">
        <x:v>EQ1-R23</x:v>
      </x:c>
      <x:c r="C26" s="15" t="str">
        <x:v>Data classification</x:v>
      </x:c>
      <x:c r="D26" s="15" t="str">
        <x:v>Audio may contain employee identity and internal facility details.</x:v>
      </x:c>
      <x:c r="E26" s="15" t="str">
        <x:v>scripted_answers.json#SA06</x:v>
      </x:c>
      <x:c r="F26" s="15" t="str"/>
      <x:c r="G26" s="15" t="str"/>
      <x:c r="H26" s="16" t="str"/>
      <x:c r="I26" s="15" t="str"/>
      <x:c r="J26" s="15" t="str"/>
      <x:c r="K26" s="15" t="str"/>
      <x:c r="L26" s="16" t="str"/>
      <x:c r="M26" s="15" t="str"/>
      <x:c r="N26" s="15" t="str"/>
    </x:row>
    <x:row r="27" ht="15" hidden="0" customHeight="1">
      <x:c r="A27" s="15" t="str">
        <x:v>Yes</x:v>
      </x:c>
      <x:c r="B27" s="15" t="str">
        <x:v>EQ1-R24</x:v>
      </x:c>
      <x:c r="C27" s="15" t="str">
        <x:v>External model API policy</x:v>
      </x:c>
      <x:c r="D27" s="15" t="str">
        <x:v>Allowed</x:v>
      </x:c>
      <x:c r="E27" s="15" t="str">
        <x:v>scripted_answers.json#SA06</x:v>
      </x:c>
      <x:c r="F27" s="15" t="str"/>
      <x:c r="G27" s="15" t="str"/>
      <x:c r="H27" s="16" t="str"/>
      <x:c r="I27" s="15" t="str"/>
      <x:c r="J27" s="15" t="str"/>
      <x:c r="K27" s="15" t="str"/>
      <x:c r="L27" s="16" t="str"/>
      <x:c r="M27" s="15" t="str"/>
      <x:c r="N27" s="15" t="str"/>
    </x:row>
    <x:row r="28" ht="26.399999618530273" hidden="0" customHeight="1">
      <x:c r="A28" s="15" t="str">
        <x:v>Yes</x:v>
      </x:c>
      <x:c r="B28" s="15" t="str">
        <x:v>EQ1-R25</x:v>
      </x:c>
      <x:c r="C28" s="15" t="str">
        <x:v>Raw audio retention</x:v>
      </x:c>
      <x:c r="D28" s="15" t="str">
        <x:v>Do not retain raw audio after processing in the PoC.</x:v>
      </x:c>
      <x:c r="E28" s="15" t="str">
        <x:v>scripted_answers.json#SA06</x:v>
      </x:c>
      <x:c r="F28" s="15" t="str"/>
      <x:c r="G28" s="15" t="str"/>
      <x:c r="H28" s="16" t="str"/>
      <x:c r="I28" s="15" t="str"/>
      <x:c r="J28" s="15" t="str"/>
      <x:c r="K28" s="15" t="str"/>
      <x:c r="L28" s="16" t="str"/>
      <x:c r="M28" s="15" t="str"/>
      <x:c r="N28" s="15" t="str"/>
    </x:row>
    <x:row r="29" ht="39.599998474121094" hidden="0" customHeight="1">
      <x:c r="A29" s="15" t="str">
        <x:v>Yes</x:v>
      </x:c>
      <x:c r="B29" s="15" t="str">
        <x:v>EQ1-R26</x:v>
      </x:c>
      <x:c r="C29" s="15" t="str">
        <x:v>Retained evidence</x:v>
      </x:c>
      <x:c r="D29" s="15" t="str">
        <x:v>Approved ticket and supervisor approval decision may be retained; no exact retention period.</x:v>
      </x:c>
      <x:c r="E29" s="15" t="str">
        <x:v>scripted_answers.json#SA06</x:v>
      </x:c>
      <x:c r="F29" s="15" t="str"/>
      <x:c r="G29" s="15" t="str"/>
      <x:c r="H29" s="16" t="str"/>
      <x:c r="I29" s="15" t="str"/>
      <x:c r="J29" s="15" t="str"/>
      <x:c r="K29" s="15" t="str"/>
      <x:c r="L29" s="16" t="str"/>
      <x:c r="M29" s="15" t="str"/>
      <x:c r="N29" s="15" t="str"/>
    </x:row>
    <x:row r="30" ht="15" hidden="0" customHeight="1">
      <x:c r="A30" s="15" t="str">
        <x:v>Yes</x:v>
      </x:c>
      <x:c r="B30" s="15" t="str">
        <x:v>EQ1-R27</x:v>
      </x:c>
      <x:c r="C30" s="15" t="str">
        <x:v>PoC interface</x:v>
      </x:c>
      <x:c r="D30" s="15" t="str">
        <x:v>Command-line interface</x:v>
      </x:c>
      <x:c r="E30" s="15" t="str">
        <x:v>scripted_answers.json#SA07</x:v>
      </x:c>
      <x:c r="F30" s="15" t="str"/>
      <x:c r="G30" s="15" t="str"/>
      <x:c r="H30" s="16" t="str"/>
      <x:c r="I30" s="15" t="str"/>
      <x:c r="J30" s="15" t="str"/>
      <x:c r="K30" s="15" t="str"/>
      <x:c r="L30" s="16" t="str"/>
      <x:c r="M30" s="15" t="str"/>
      <x:c r="N30" s="15" t="str"/>
    </x:row>
    <x:row r="31" ht="52.79999923706055" hidden="0" customHeight="1">
      <x:c r="A31" s="15" t="str">
        <x:v>Yes</x:v>
      </x:c>
      <x:c r="B31" s="15" t="str">
        <x:v>EQ1-R28</x:v>
      </x:c>
      <x:c r="C31" s="15" t="str">
        <x:v>Stakeholder and party scope</x:v>
      </x:c>
      <x:c r="D31" s="15" t="str">
        <x:v>Field technicians and the maintenance supervisor are the only required PoC participants; the voice report is internal and has no external party.</x:v>
      </x:c>
      <x:c r="E31" s="15" t="str">
        <x:v>scripted_answers.json#SA01; scripted_answers.json#SA05</x:v>
      </x:c>
      <x:c r="F31" s="15" t="str"/>
      <x:c r="G31" s="15" t="str"/>
      <x:c r="H31" s="16" t="str"/>
      <x:c r="I31" s="15" t="str"/>
      <x:c r="J31" s="15" t="str"/>
      <x:c r="K31" s="15" t="str"/>
      <x:c r="L31" s="16" t="str"/>
      <x:c r="M31" s="15" t="str"/>
      <x:c r="N31" s="15" t="str"/>
    </x:row>
    <x:row r="32" ht="52.79999923706055" hidden="0" customHeight="1">
      <x:c r="A32" s="15" t="str">
        <x:v>Yes</x:v>
      </x:c>
      <x:c r="B32" s="15" t="str">
        <x:v>EQ1-R29</x:v>
      </x:c>
      <x:c r="C32" s="15" t="str">
        <x:v>Business and PoC success criteria</x:v>
      </x:c>
      <x:c r="D32" s="15" t="str">
        <x:v>Faster reporting, fewer missing details, a supervisor-verifiable ticket, and successful execution over the supplied fixture; no numerical improvement threshold.</x:v>
      </x:c>
      <x:c r="E32" s="15" t="str">
        <x:v>scripted_answers.json#SA07; scripted_answers.json#SA09</x:v>
      </x:c>
      <x:c r="F32" s="15" t="str"/>
      <x:c r="G32" s="15" t="str"/>
      <x:c r="H32" s="16" t="str"/>
      <x:c r="I32" s="15" t="str"/>
      <x:c r="J32" s="15" t="str"/>
      <x:c r="K32" s="15" t="str"/>
      <x:c r="L32" s="16" t="str"/>
      <x:c r="M32" s="15" t="str"/>
      <x:c r="N32" s="15" t="str"/>
    </x:row>
    <x:row r="33" ht="39.599998474121094" hidden="0" customHeight="1">
      <x:c r="A33" s="15" t="str">
        <x:v>Yes</x:v>
      </x:c>
      <x:c r="B33" s="15" t="str">
        <x:v>EQ1-R30</x:v>
      </x:c>
      <x:c r="C33" s="15" t="str">
        <x:v>Principal risks</x:v>
      </x:c>
      <x:c r="D33" s="15" t="str">
        <x:v>Finnish transcription errors; incorrect asset, location, fault, or urgency values; unsupported values; transfer without supervisor approval.</x:v>
      </x:c>
      <x:c r="E33" s="15" t="str">
        <x:v>scripted_answers.json#SA09</x:v>
      </x:c>
      <x:c r="F33" s="15" t="str"/>
      <x:c r="G33" s="15" t="str"/>
      <x:c r="H33" s="16" t="str"/>
      <x:c r="I33" s="15" t="str"/>
      <x:c r="J33" s="15" t="str"/>
      <x:c r="K33" s="15" t="str"/>
      <x:c r="L33" s="16" t="str"/>
      <x:c r="M33" s="15" t="str"/>
      <x:c r="N33" s="15" t="str"/>
    </x:row>
    <x:row r="34" ht="52.79999923706055" hidden="0" customHeight="1">
      <x:c r="A34" s="15" t="str">
        <x:v>Yes</x:v>
      </x:c>
      <x:c r="B34" s="15" t="str">
        <x:v>EQ1-R31</x:v>
      </x:c>
      <x:c r="C34" s="15" t="str">
        <x:v>Data source and output language</x:v>
      </x:c>
      <x:c r="D34" s="15" t="str">
        <x:v>An internal technician records or uploads Finnish audio; extracted free-text values remain Finnish, while JSON keys and canonical urgency labels are English.</x:v>
      </x:c>
      <x:c r="E34" s="15" t="str">
        <x:v>scripted_answers.json#SA02</x:v>
      </x:c>
      <x:c r="F34" s="15" t="str"/>
      <x:c r="G34" s="15" t="str"/>
      <x:c r="H34" s="16" t="str"/>
      <x:c r="I34" s="15" t="str"/>
      <x:c r="J34" s="15" t="str"/>
      <x:c r="K34" s="15" t="str"/>
      <x:c r="L34" s="16" t="str"/>
      <x:c r="M34" s="15" t="str"/>
      <x:c r="N34" s="15" t="str"/>
    </x:row>
    <x:row r="35" ht="52.79999923706055" hidden="0" customHeight="1">
      <x:c r="A35" s="15" t="str">
        <x:v>Yes</x:v>
      </x:c>
      <x:c r="B35" s="15" t="str">
        <x:v>EQ1-R32</x:v>
      </x:c>
      <x:c r="C35" s="15" t="str">
        <x:v>Domain vocabulary and identifiers</x:v>
      </x:c>
      <x:c r="D35" s="15" t="str">
        <x:v>Finnish facility names and alphanumeric room/asset identifiers may occur; identifiers such as P-17 and B2 must be preserved exactly; no fixed glossary.</x:v>
      </x:c>
      <x:c r="E35" s="15" t="str">
        <x:v>scripted_answers.json#SA10</x:v>
      </x:c>
      <x:c r="F35" s="15" t="str"/>
      <x:c r="G35" s="15" t="str"/>
      <x:c r="H35" s="16" t="str"/>
      <x:c r="I35" s="15" t="str"/>
      <x:c r="J35" s="15" t="str"/>
      <x:c r="K35" s="15" t="str"/>
      <x:c r="L35" s="16" t="str"/>
      <x:c r="M35" s="15" t="str"/>
      <x:c r="N35" s="15" t="str"/>
    </x:row>
    <x:row r="36" ht="39.599998474121094" hidden="0" customHeight="1">
      <x:c r="A36" s="15" t="str">
        <x:v>Yes</x:v>
      </x:c>
      <x:c r="B36" s="15" t="str">
        <x:v>EQ1-R33</x:v>
      </x:c>
      <x:c r="C36" s="15" t="str">
        <x:v>Model and provider preference</x:v>
      </x:c>
      <x:c r="D36" s="15" t="str">
        <x:v>Provider remains configurable; no exact provider, model, temperature, or transcription model is user-specified.</x:v>
      </x:c>
      <x:c r="E36" s="15" t="str">
        <x:v>scripted_answers.json#SA08</x:v>
      </x:c>
      <x:c r="F36" s="15" t="str"/>
      <x:c r="G36" s="15" t="str"/>
      <x:c r="H36" s="16" t="str"/>
      <x:c r="I36" s="15" t="str"/>
      <x:c r="J36" s="15" t="str"/>
      <x:c r="K36" s="15" t="str"/>
      <x:c r="L36" s="16" t="str"/>
      <x:c r="M36" s="15" t="str"/>
      <x:c r="N36" s="15" t="str"/>
    </x:row>
    <x:row r="37" ht="52.79999923706055" hidden="0" customHeight="1">
      <x:c r="A37" s="15" t="str">
        <x:v>Yes</x:v>
      </x:c>
      <x:c r="B37" s="15" t="str">
        <x:v>EQ1-R34</x:v>
      </x:c>
      <x:c r="C37" s="15" t="str">
        <x:v>Required output formats</x:v>
      </x:c>
      <x:c r="D37" s="15" t="str">
        <x:v>Final machine-readable JSON ticket; transcript and uncertainty information as review evidence; no formatted PDF, HTML, or DOCX report.</x:v>
      </x:c>
      <x:c r="E37" s="15" t="str">
        <x:v>scripted_answers.json#SA07</x:v>
      </x:c>
      <x:c r="F37" s="15" t="str"/>
      <x:c r="G37" s="15" t="str"/>
      <x:c r="H37" s="16" t="str"/>
      <x:c r="I37" s="15" t="str"/>
      <x:c r="J37" s="15" t="str"/>
      <x:c r="K37" s="15" t="str"/>
      <x:c r="L37" s="16" t="str"/>
      <x:c r="M37" s="15" t="str"/>
      <x:c r="N37" s="15" t="str"/>
    </x:row>
    <x:row r="38" ht="15" hidden="0" customHeight="1">
      <x:c r="A38" s="15" t="str">
        <x:v>Yes</x:v>
      </x:c>
      <x:c r="B38" s="15" t="str">
        <x:v>EQ1-R35</x:v>
      </x:c>
      <x:c r="C38" s="15" t="str">
        <x:v>Target schema name</x:v>
      </x:c>
      <x:c r="D38" s="15" t="str">
        <x:v>MaintenanceTicket</x:v>
      </x:c>
      <x:c r="E38" s="15" t="str">
        <x:v>scripted_answers.json#SA03</x:v>
      </x:c>
      <x:c r="F38" s="15" t="str"/>
      <x:c r="G38" s="15" t="str"/>
      <x:c r="H38" s="16" t="str"/>
      <x:c r="I38" s="15" t="str"/>
      <x:c r="J38" s="15" t="str"/>
      <x:c r="K38" s="15" t="str"/>
      <x:c r="L38" s="16" t="str"/>
      <x:c r="M38" s="15" t="str"/>
      <x:c r="N38" s="15" t="str"/>
    </x:row>
    <x:row r="39" ht="92.4000015258789" hidden="0" customHeight="1">
      <x:c r="A39" s="15" t="str">
        <x:v>Yes</x:v>
      </x:c>
      <x:c r="B39" s="15" t="str">
        <x:v>EQ1-R36</x:v>
      </x:c>
      <x:c r="C39" s="15" t="str">
        <x:v>Target field types and optionality</x:v>
      </x:c>
      <x:c r="D39" s="15" t="str">
        <x:v>Strings for reporter_name, asset_identifier, location, fault_description, urgency, and observation_time; date for observation_date; lists of strings for actions_taken and uncertain_fields. location, fault_description, and urgency are required; other fields are optional.</x:v>
      </x:c>
      <x:c r="E39" s="15" t="str">
        <x:v>scripted_answers.json#SA03</x:v>
      </x:c>
      <x:c r="F39" s="15" t="str"/>
      <x:c r="G39" s="15" t="str"/>
      <x:c r="H39" s="16" t="str"/>
      <x:c r="I39" s="15" t="str"/>
      <x:c r="J39" s="15" t="str"/>
      <x:c r="K39" s="15" t="str"/>
      <x:c r="L39" s="16" t="str"/>
      <x:c r="M39" s="15" t="str"/>
      <x:c r="N39" s="15" t="str"/>
    </x:row>
    <x:row r="40" ht="39.599998474121094" hidden="0" customHeight="1">
      <x:c r="A40" s="15" t="str">
        <x:v>Yes</x:v>
      </x:c>
      <x:c r="B40" s="15" t="str">
        <x:v>EQ1-R37</x:v>
      </x:c>
      <x:c r="C40" s="15" t="str">
        <x:v>Allowed values and formats</x:v>
      </x:c>
      <x:c r="D40" s="15" t="str">
        <x:v>urgency is low, medium, or high; observation_date uses YYYY-MM-DD; observation_time uses HH:MM.</x:v>
      </x:c>
      <x:c r="E40" s="15" t="str">
        <x:v>scripted_answers.json#SA03; scripted_answers.json#SA10; scripted_answers.json#SA11</x:v>
      </x:c>
      <x:c r="F40" s="15" t="str"/>
      <x:c r="G40" s="15" t="str"/>
      <x:c r="H40" s="16" t="str"/>
      <x:c r="I40" s="15" t="str"/>
      <x:c r="J40" s="15" t="str"/>
      <x:c r="K40" s="15" t="str"/>
      <x:c r="L40" s="16" t="str"/>
      <x:c r="M40" s="15" t="str"/>
      <x:c r="N40" s="15" t="str"/>
    </x:row>
    <x:row r="41" ht="39.599998474121094" hidden="0" customHeight="1">
      <x:c r="A41" s="15" t="str">
        <x:v>Yes</x:v>
      </x:c>
      <x:c r="B41" s="15" t="str">
        <x:v>EQ1-R38</x:v>
      </x:c>
      <x:c r="C41" s="15" t="str">
        <x:v>Confidence representation</x:v>
      </x:c>
      <x:c r="D41" s="15" t="str">
        <x:v>A numerical confidence score is not required; component-supplied confidence may be included only as supplementary evidence.</x:v>
      </x:c>
      <x:c r="E41" s="15" t="str">
        <x:v>scripted_answers.json#SA04</x:v>
      </x:c>
      <x:c r="F41" s="15" t="str"/>
      <x:c r="G41" s="15" t="str"/>
      <x:c r="H41" s="16" t="str"/>
      <x:c r="I41" s="15" t="str"/>
      <x:c r="J41" s="15" t="str"/>
      <x:c r="K41" s="15" t="str"/>
      <x:c r="L41" s="16" t="str"/>
      <x:c r="M41" s="15" t="str"/>
      <x:c r="N41" s="15" t="str"/>
    </x:row>
    <x:row r="42" ht="79.19999694824219" hidden="0" customHeight="1">
      <x:c r="A42" s="15" t="str">
        <x:v>Yes</x:v>
      </x:c>
      <x:c r="B42" s="15" t="str">
        <x:v>EQ1-R39</x:v>
      </x:c>
      <x:c r="C42" s="15" t="str">
        <x:v>Output validation rules</x:v>
      </x:c>
      <x:c r="D42" s="15" t="str">
        <x:v>Required keys must exist; constrained formats and urgency values must be respected; values must be grounded in the message; missing or uncertain values remain null/unknown and are listed in uncertain_fields.</x:v>
      </x:c>
      <x:c r="E42" s="15" t="str">
        <x:v>scripted_answers.json#SA03; scripted_answers.json#SA04; scripted_answers.json#SA11</x:v>
      </x:c>
      <x:c r="F42" s="15" t="str"/>
      <x:c r="G42" s="15" t="str"/>
      <x:c r="H42" s="16" t="str"/>
      <x:c r="I42" s="15" t="str"/>
      <x:c r="J42" s="15" t="str"/>
      <x:c r="K42" s="15" t="str"/>
      <x:c r="L42" s="16" t="str"/>
      <x:c r="M42" s="15" t="str"/>
      <x:c r="N42" s="15" t="str"/>
    </x:row>
    <x:row r="43" ht="66" hidden="0" customHeight="1">
      <x:c r="A43" s="15" t="str">
        <x:v>Yes</x:v>
      </x:c>
      <x:c r="B43" s="15" t="str">
        <x:v>EQ1-R40</x:v>
      </x:c>
      <x:c r="C43" s="15" t="str">
        <x:v>Business-process detail</x:v>
      </x:c>
      <x:c r="D43" s="15" t="str">
        <x:v>Technician submits audio; AI creates a ticket and review evidence; supervisor approves or returns it; only approved JSON proceeds. There are no external parties or additional decision branches.</x:v>
      </x:c>
      <x:c r="E43" s="15" t="str">
        <x:v>scripted_answers.json#SA05</x:v>
      </x:c>
      <x:c r="F43" s="15" t="str"/>
      <x:c r="G43" s="15" t="str"/>
      <x:c r="H43" s="16" t="str"/>
      <x:c r="I43" s="15" t="str"/>
      <x:c r="J43" s="15" t="str"/>
      <x:c r="K43" s="15" t="str"/>
      <x:c r="L43" s="16" t="str"/>
      <x:c r="M43" s="15" t="str"/>
      <x:c r="N43" s="15" t="str"/>
    </x:row>
    <x:row r="44" ht="66" hidden="0" customHeight="1">
      <x:c r="A44" s="15" t="str">
        <x:v>Yes</x:v>
      </x:c>
      <x:c r="B44" s="15" t="str">
        <x:v>EQ1-R41</x:v>
      </x:c>
      <x:c r="C44" s="15" t="str">
        <x:v>PoC evaluation requirements</x:v>
      </x:c>
      <x:c r="D44" s="15" t="str">
        <x:v>Run the supplied Finnish audio fixture; require successful exit, parseable non-empty JSON, required-field coverage, semantic preservation of fixture facts, and no unsupported values; no numerical threshold.</x:v>
      </x:c>
      <x:c r="E44" s="15" t="str">
        <x:v>scripted_answers.json#SA07</x:v>
      </x:c>
      <x:c r="F44" s="15" t="str"/>
      <x:c r="G44" s="15" t="str"/>
      <x:c r="H44" s="16" t="str"/>
      <x:c r="I44" s="15" t="str"/>
      <x:c r="J44" s="15" t="str"/>
      <x:c r="K44" s="15" t="str"/>
      <x:c r="L44" s="16" t="str"/>
      <x:c r="M44" s="15" t="str"/>
      <x:c r="N44" s="15" t="str"/>
    </x:row>
    <x:row r="45" ht="66" hidden="0" customHeight="1">
      <x:c r="A45" s="15" t="str">
        <x:v>Yes</x:v>
      </x:c>
      <x:c r="B45" s="15" t="str">
        <x:v>EQ1-R42</x:v>
      </x:c>
      <x:c r="C45" s="15" t="str">
        <x:v>Security, access, and audit scope</x:v>
      </x:c>
      <x:c r="D45" s="15" t="str">
        <x:v>External APIs are allowed; raw audio is not retained; approved ticket and approval decision may be retained; authentication, production RBAC, and a full audit-log implementation are outside PoC scope.</x:v>
      </x:c>
      <x:c r="E45" s="15" t="str">
        <x:v>scripted_answers.json#SA06</x:v>
      </x:c>
      <x:c r="F45" s="15" t="str"/>
      <x:c r="G45" s="15" t="str"/>
      <x:c r="H45" s="16" t="str"/>
      <x:c r="I45" s="15" t="str"/>
      <x:c r="J45" s="15" t="str"/>
      <x:c r="K45" s="15" t="str"/>
      <x:c r="L45" s="16" t="str"/>
      <x:c r="M45" s="15" t="str"/>
      <x:c r="N45" s="15" t="str"/>
    </x:row>
  </x:sheetData>
  <x:mergeCells>
    <x:mergeCell ref="A1:N1"/>
    <x:mergeCell ref="A2:N2"/>
  </x:mergeCells>
  <x:conditionalFormatting sqref="I4:I45">
    <x:cfRule type="cellIs" dxfId="0" priority="1">
      <x:formula>"Yes"</x:formula>
    </x:cfRule>
    <x:cfRule type="cellIs" dxfId="1" priority="2">
      <x:formula>"No"</x:formula>
    </x:cfRule>
  </x:conditionalFormatting>
  <x:conditionalFormatting sqref="M4:M45">
    <x:cfRule type="cellIs" dxfId="2" priority="3">
      <x:formula>"Yes"</x:formula>
    </x:cfRule>
    <x:cfRule type="cellIs" dxfId="3" priority="4">
      <x:formula>"No"</x:formula>
    </x:cfRule>
  </x:conditionalFormatting>
  <x:dataValidations count="2">
    <x:dataValidation type="list" sqref="I4:I45">
      <x:formula1>"Yes,No"</x:formula1>
    </x:dataValidation>
    <x:dataValidation type="list" sqref="M4:M4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Diagnostics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transparency diagnostic for unsupported commitments. Evidence is still mandatory.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No</x:v>
      </x:c>
      <x:c r="B4" s="15" t="str">
        <x:v>EQ1-D01</x:v>
      </x:c>
      <x:c r="C4" s="15" t="str">
        <x:v>Unsupported provider/model commitment</x:v>
      </x:c>
      <x:c r="D4" s="15" t="str">
        <x:v>The provider must remain configurable; no exact provider or model was supplied.</x:v>
      </x:c>
      <x:c r="E4" s="15" t="str">
        <x:v>scripted_answers.json#SA08</x:v>
      </x:c>
      <x:c r="F4" s="15" t="str"/>
      <x:c r="G4" s="15" t="str"/>
      <x:c r="H4" s="16" t="str"/>
      <x:c r="I4" s="15" t="str"/>
      <x:c r="J4" s="15" t="str"/>
      <x:c r="K4" s="15" t="str"/>
      <x:c r="L4" s="16" t="str"/>
      <x:c r="M4" s="15" t="str"/>
      <x:c r="N4" s="15" t="str"/>
    </x:row>
    <x:row r="5" ht="15" hidden="0" customHeight="1">
      <x:c r="A5" s="15" t="str">
        <x:v>No</x:v>
      </x:c>
      <x:c r="B5" s="15" t="str">
        <x:v>EQ1-D02</x:v>
      </x:c>
      <x:c r="C5" s="15" t="str">
        <x:v>Unsupported retention period</x:v>
      </x:c>
      <x:c r="D5" s="15" t="str">
        <x:v>No exact retention period was supplied.</x:v>
      </x:c>
      <x:c r="E5" s="15" t="str">
        <x:v>scripted_answers.json#SA06</x:v>
      </x:c>
      <x:c r="F5" s="15" t="str"/>
      <x:c r="G5" s="15" t="str"/>
      <x:c r="H5" s="16" t="str"/>
      <x:c r="I5" s="15" t="str"/>
      <x:c r="J5" s="15" t="str"/>
      <x:c r="K5" s="15" t="str"/>
      <x:c r="L5" s="16" t="str"/>
      <x:c r="M5" s="15" t="str"/>
      <x:c r="N5" s="15" t="str"/>
    </x:row>
    <x:row r="6" ht="39.599998474121094" hidden="0" customHeight="1">
      <x:c r="A6" s="15" t="str">
        <x:v>No</x:v>
      </x:c>
      <x:c r="B6" s="15" t="str">
        <x:v>EQ1-D03</x:v>
      </x:c>
      <x:c r="C6" s="15" t="str">
        <x:v>Unsupported SLA, volume, budget, or deployment commitment</x:v>
      </x:c>
      <x:c r="D6" s="15" t="str">
        <x:v>No SLA, throughput, budget, or deployment topology was supplied.</x:v>
      </x:c>
      <x:c r="E6" s="15" t="str">
        <x:v>scripted_answers.json#SA08</x:v>
      </x:c>
      <x:c r="F6" s="15" t="str"/>
      <x:c r="G6" s="15" t="str"/>
      <x:c r="H6" s="16" t="str"/>
      <x:c r="I6" s="15" t="str"/>
      <x:c r="J6" s="15" t="str"/>
      <x:c r="K6" s="15" t="str"/>
      <x:c r="L6" s="16" t="str"/>
      <x:c r="M6" s="15" t="str"/>
      <x:c r="N6" s="15" t="str"/>
    </x:row>
  </x:sheetData>
  <x:mergeCells>
    <x:mergeCell ref="A1:N1"/>
    <x:mergeCell ref="A2:N2"/>
  </x:mergeCells>
  <x:conditionalFormatting sqref="I4:I6">
    <x:cfRule type="cellIs" dxfId="4" priority="1">
      <x:formula>"Yes"</x:formula>
    </x:cfRule>
    <x:cfRule type="cellIs" dxfId="5" priority="2">
      <x:formula>"No"</x:formula>
    </x:cfRule>
  </x:conditionalFormatting>
  <x:conditionalFormatting sqref="M4:M6">
    <x:cfRule type="cellIs" dxfId="6" priority="3">
      <x:formula>"Yes"</x:formula>
    </x:cfRule>
    <x:cfRule type="cellIs" dxfId="7" priority="4">
      <x:formula>"No"</x:formula>
    </x:cfRule>
  </x:conditionalFormatting>
  <x:dataValidations count="2">
    <x:dataValidation type="list" sqref="I4:I6">
      <x:formula1>"Yes,No"</x:formula1>
    </x:dataValidation>
    <x:dataValidation type="list" sqref="M4:M6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EQ2 Configuration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GAIK module/component constraints and behavior-changing options.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EQ2-C01</x:v>
      </x:c>
      <x:c r="C4" s="15" t="str">
        <x:v>Knowledge-process classification</x:v>
      </x:c>
      <x:c r="D4" s="15" t="str">
        <x:v>knowledge_capture</x:v>
      </x:c>
      <x:c r="E4" s="15" t="str">
        <x:v>initial_prompt.txt</x:v>
      </x:c>
      <x:c r="F4" s="15" t="str"/>
      <x:c r="G4" s="15" t="str"/>
      <x:c r="H4" s="16" t="str"/>
      <x:c r="I4" s="15" t="str"/>
      <x:c r="J4" s="15" t="str"/>
      <x:c r="K4" s="15" t="str"/>
      <x:c r="L4" s="16" t="str"/>
      <x:c r="M4" s="15" t="str"/>
      <x:c r="N4" s="15" t="str"/>
    </x:row>
    <x:row r="5" ht="26.399999618530273" hidden="0" customHeight="1">
      <x:c r="A5" s="15" t="str">
        <x:v>Yes</x:v>
      </x:c>
      <x:c r="B5" s="15" t="str">
        <x:v>EQ2-C02</x:v>
      </x:c>
      <x:c r="C5" s="15" t="str">
        <x:v>Module-first selection</x:v>
      </x:c>
      <x:c r="D5" s="15" t="str">
        <x:v>AudioToStructuredData (id: audio_to_structured_data)</x:v>
      </x:c>
      <x:c r="E5" s="15" t="str">
        <x:v>gaik_basis.expected_module</x:v>
      </x:c>
      <x:c r="F5" s="15" t="str"/>
      <x:c r="G5" s="15" t="str"/>
      <x:c r="H5" s="16" t="str"/>
      <x:c r="I5" s="15" t="str"/>
      <x:c r="J5" s="15" t="str"/>
      <x:c r="K5" s="15" t="str"/>
      <x:c r="L5" s="16" t="str"/>
      <x:c r="M5" s="15" t="str"/>
      <x:c r="N5" s="15" t="str"/>
    </x:row>
    <x:row r="6" ht="26.399999618530273" hidden="0" customHeight="1">
      <x:c r="A6" s="15" t="str">
        <x:v>Yes</x:v>
      </x:c>
      <x:c r="B6" s="15" t="str">
        <x:v>EQ2-C03</x:v>
      </x:c>
      <x:c r="C6" s="15" t="str">
        <x:v>Transcription language option</x:v>
      </x:c>
      <x:c r="D6" s="15" t="str">
        <x:v>language = fi</x:v>
      </x:c>
      <x:c r="E6" s="15" t="str">
        <x:v>scripted_answers.json#SA02; gaik_basis</x:v>
      </x:c>
      <x:c r="F6" s="15" t="str"/>
      <x:c r="G6" s="15" t="str"/>
      <x:c r="H6" s="16" t="str"/>
      <x:c r="I6" s="15" t="str"/>
      <x:c r="J6" s="15" t="str"/>
      <x:c r="K6" s="15" t="str"/>
      <x:c r="L6" s="16" t="str"/>
      <x:c r="M6" s="15" t="str"/>
      <x:c r="N6" s="15" t="str"/>
    </x:row>
    <x:row r="7" ht="26.399999618530273" hidden="0" customHeight="1">
      <x:c r="A7" s="15" t="str">
        <x:v>Yes</x:v>
      </x:c>
      <x:c r="B7" s="15" t="str">
        <x:v>EQ2-C04</x:v>
      </x:c>
      <x:c r="C7" s="15" t="str">
        <x:v>Finnish transcript enhancement option</x:v>
      </x:c>
      <x:c r="D7" s="15" t="str">
        <x:v>enhanced_transcript = true</x:v>
      </x:c>
      <x:c r="E7" s="15" t="str">
        <x:v>gaik_basis.expected_module.selection_relevant_options</x:v>
      </x:c>
      <x:c r="F7" s="15" t="str"/>
      <x:c r="G7" s="15" t="str"/>
      <x:c r="H7" s="16" t="str"/>
      <x:c r="I7" s="15" t="str"/>
      <x:c r="J7" s="15" t="str"/>
      <x:c r="K7" s="15" t="str"/>
      <x:c r="L7" s="16" t="str"/>
      <x:c r="M7" s="15" t="str"/>
      <x:c r="N7" s="15" t="str"/>
    </x:row>
    <x:row r="8" ht="52.79999923706055" hidden="0" customHeight="1">
      <x:c r="A8" s="15" t="str">
        <x:v>Yes</x:v>
      </x:c>
      <x:c r="B8" s="15" t="str">
        <x:v>EQ2-C05</x:v>
      </x:c>
      <x:c r="C8" s="15" t="str">
        <x:v>No redundant implementation pipeline</x:v>
      </x:c>
      <x:c r="D8" s="15" t="str">
        <x:v>The PoC invokes AudioToStructuredData once and does not independently invoke its subsumed Transcriber, TranscriptEnhancer, SchemaGenerator, or DataExtractor pipeline.</x:v>
      </x:c>
      <x:c r="E8" s="15" t="str">
        <x:v>gaik_basis.expected_module.uses_components</x:v>
      </x:c>
      <x:c r="F8" s="15" t="str"/>
      <x:c r="G8" s="15" t="str"/>
      <x:c r="H8" s="16" t="str"/>
      <x:c r="I8" s="15" t="str"/>
      <x:c r="J8" s="15" t="str"/>
      <x:c r="K8" s="15" t="str"/>
      <x:c r="L8" s="16" t="str"/>
      <x:c r="M8" s="15" t="str"/>
      <x:c r="N8" s="15" t="str"/>
    </x:row>
    <x:row r="9" ht="26.399999618530273" hidden="0" customHeight="1">
      <x:c r="A9" s="15" t="str">
        <x:v>Yes</x:v>
      </x:c>
      <x:c r="B9" s="15" t="str">
        <x:v>EQ2-C06</x:v>
      </x:c>
      <x:c r="C9" s="15" t="str">
        <x:v>Structured extraction configuration</x:v>
      </x:c>
      <x:c r="D9" s="15" t="str">
        <x:v>A schema/requirements artifact defines all required maintenance-ticket fields.</x:v>
      </x:c>
      <x:c r="E9" s="15" t="str">
        <x:v>scripted_answers.json#SA03; gaik_basis</x:v>
      </x:c>
      <x:c r="F9" s="15" t="str"/>
      <x:c r="G9" s="15" t="str"/>
      <x:c r="H9" s="16" t="str"/>
      <x:c r="I9" s="15" t="str"/>
      <x:c r="J9" s="15" t="str"/>
      <x:c r="K9" s="15" t="str"/>
      <x:c r="L9" s="16" t="str"/>
      <x:c r="M9" s="15" t="str"/>
      <x:c r="N9" s="15" t="str"/>
    </x:row>
    <x:row r="10" ht="26.399999618530273" hidden="0" customHeight="1">
      <x:c r="A10" s="15" t="str">
        <x:v>Yes</x:v>
      </x:c>
      <x:c r="B10" s="15" t="str">
        <x:v>EQ2-C07</x:v>
      </x:c>
      <x:c r="C10" s="15" t="str">
        <x:v>Review placement</x:v>
      </x:c>
      <x:c r="D10" s="15" t="str">
        <x:v>Human review follows structured extraction and precedes maintenance-system transfer.</x:v>
      </x:c>
      <x:c r="E10" s="15" t="str">
        <x:v>scripted_answers.json#SA05</x:v>
      </x:c>
      <x:c r="F10" s="15" t="str"/>
      <x:c r="G10" s="15" t="str"/>
      <x:c r="H10" s="16" t="str"/>
      <x:c r="I10" s="15" t="str"/>
      <x:c r="J10" s="15" t="str"/>
      <x:c r="K10" s="15" t="str"/>
      <x:c r="L10" s="16" t="str"/>
      <x:c r="M10" s="15" t="str"/>
      <x:c r="N10" s="15" t="str"/>
    </x:row>
    <x:row r="11" ht="39.599998474121094" hidden="0" customHeight="1">
      <x:c r="A11" s="15" t="str">
        <x:v>Yes</x:v>
      </x:c>
      <x:c r="B11" s="15" t="str">
        <x:v>EQ2-C08</x:v>
      </x:c>
      <x:c r="C11" s="15" t="str">
        <x:v>Review inputs</x:v>
      </x:c>
      <x:c r="D11" s="15" t="str">
        <x:v>Supervisor receives the structured ticket, uncertainty/missing-field information, and transcript evidence.</x:v>
      </x:c>
      <x:c r="E11" s="15" t="str">
        <x:v>scripted_answers.json#SA04; scripted_answers.json#SA05</x:v>
      </x:c>
      <x:c r="F11" s="15" t="str"/>
      <x:c r="G11" s="15" t="str"/>
      <x:c r="H11" s="16" t="str"/>
      <x:c r="I11" s="15" t="str"/>
      <x:c r="J11" s="15" t="str"/>
      <x:c r="K11" s="15" t="str"/>
      <x:c r="L11" s="16" t="str"/>
      <x:c r="M11" s="15" t="str"/>
      <x:c r="N11" s="15" t="str"/>
    </x:row>
    <x:row r="12" ht="26.399999618530273" hidden="0" customHeight="1">
      <x:c r="A12" s="15" t="str">
        <x:v>Yes</x:v>
      </x:c>
      <x:c r="B12" s="15" t="str">
        <x:v>EQ2-C09</x:v>
      </x:c>
      <x:c r="C12" s="15" t="str">
        <x:v>PoC output behavior</x:v>
      </x:c>
      <x:c r="D12" s="15" t="str">
        <x:v>CLI accepts audio and saves JSON; live API integration is not required.</x:v>
      </x:c>
      <x:c r="E12" s="15" t="str">
        <x:v>scripted_answers.json#SA05; scripted_answers.json#SA07</x:v>
      </x:c>
      <x:c r="F12" s="15" t="str"/>
      <x:c r="G12" s="15" t="str"/>
      <x:c r="H12" s="16" t="str"/>
      <x:c r="I12" s="15" t="str"/>
      <x:c r="J12" s="15" t="str"/>
      <x:c r="K12" s="15" t="str"/>
      <x:c r="L12" s="16" t="str"/>
      <x:c r="M12" s="15" t="str"/>
      <x:c r="N12" s="15" t="str"/>
    </x:row>
  </x:sheetData>
  <x:mergeCells>
    <x:mergeCell ref="A1:N1"/>
    <x:mergeCell ref="A2:N2"/>
  </x:mergeCells>
  <x:conditionalFormatting sqref="I4:I12">
    <x:cfRule type="cellIs" dxfId="8" priority="1">
      <x:formula>"Yes"</x:formula>
    </x:cfRule>
    <x:cfRule type="cellIs" dxfId="9" priority="2">
      <x:formula>"No"</x:formula>
    </x:cfRule>
  </x:conditionalFormatting>
  <x:conditionalFormatting sqref="M4:M12">
    <x:cfRule type="cellIs" dxfId="10" priority="3">
      <x:formula>"Yes"</x:formula>
    </x:cfRule>
    <x:cfRule type="cellIs" dxfId="11" priority="4">
      <x:formula>"No"</x:formula>
    </x:cfRule>
  </x:conditionalFormatting>
  <x:dataValidations count="2">
    <x:dataValidation type="list" sqref="I4:I12">
      <x:formula1>"Yes,No"</x:formula1>
    </x:dataValidation>
    <x:dataValidation type="list" sqref="M4:M12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EQ3 Package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valid solution package only when every mandatory EQ3 check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EQ3-P01</x:v>
      </x:c>
      <x:c r="C4" s="15" t="str">
        <x:v>Blueprint presence and JSON parsing</x:v>
      </x:c>
      <x:c r="D4" s="15" t="str">
        <x:v>generated_package/use_case.blueprint.json exists, is non-empty, and parses as JSON.</x:v>
      </x:c>
      <x:c r="E4" s="15" t="str">
        <x:v>file path; file size; JSON parser result</x:v>
      </x:c>
      <x:c r="F4" s="15" t="str"/>
      <x:c r="G4" s="15" t="str"/>
      <x:c r="H4" s="16" t="str"/>
      <x:c r="I4" s="15" t="str"/>
      <x:c r="J4" s="15" t="str"/>
      <x:c r="K4" s="15" t="str"/>
      <x:c r="L4" s="16" t="str"/>
      <x:c r="M4" s="15" t="str"/>
      <x:c r="N4" s="15" t="str"/>
    </x:row>
    <x:row r="5" ht="26.399999618530273" hidden="0" customHeight="1">
      <x:c r="A5" s="15" t="str">
        <x:v>Yes</x:v>
      </x:c>
      <x:c r="B5" s="15" t="str">
        <x:v>EQ3-P02</x:v>
      </x:c>
      <x:c r="C5" s="15" t="str">
        <x:v>Official blueprint validation</x:v>
      </x:c>
      <x:c r="D5" s="15" t="str">
        <x:v>The GAIK Solution Wizard validator returns exit code 0 with no blocking errors.</x:v>
      </x:c>
      <x:c r="E5" s="15" t="str">
        <x:v>validator command; exit code; validator output excerpt</x:v>
      </x:c>
      <x:c r="F5" s="15" t="str"/>
      <x:c r="G5" s="15" t="str"/>
      <x:c r="H5" s="16" t="str"/>
      <x:c r="I5" s="15" t="str"/>
      <x:c r="J5" s="15" t="str"/>
      <x:c r="K5" s="15" t="str"/>
      <x:c r="L5" s="16" t="str"/>
      <x:c r="M5" s="15" t="str"/>
      <x:c r="N5" s="15" t="str"/>
    </x:row>
    <x:row r="6" ht="39.599998474121094" hidden="0" customHeight="1">
      <x:c r="A6" s="15" t="str">
        <x:v>Yes</x:v>
      </x:c>
      <x:c r="B6" s="15" t="str">
        <x:v>EQ3-P03</x:v>
      </x:c>
      <x:c r="C6" s="15" t="str">
        <x:v>Artifact-flow consistency</x:v>
      </x:c>
      <x:c r="D6" s="15" t="str">
        <x:v>Step inputs/outputs reference declared artifacts; generated artifacts have valid producers; dependencies are resolvable.</x:v>
      </x:c>
      <x:c r="E6" s="15" t="str">
        <x:v>checked step/artifact counts; rule result; relevant JSON paths</x:v>
      </x:c>
      <x:c r="F6" s="15" t="str"/>
      <x:c r="G6" s="15" t="str"/>
      <x:c r="H6" s="16" t="str"/>
      <x:c r="I6" s="15" t="str"/>
      <x:c r="J6" s="15" t="str"/>
      <x:c r="K6" s="15" t="str"/>
      <x:c r="L6" s="16" t="str"/>
      <x:c r="M6" s="15" t="str"/>
      <x:c r="N6" s="15" t="str"/>
    </x:row>
    <x:row r="7" ht="39.599998474121094" hidden="0" customHeight="1">
      <x:c r="A7" s="15" t="str">
        <x:v>Yes</x:v>
      </x:c>
      <x:c r="B7" s="15" t="str">
        <x:v>EQ3-P04</x:v>
      </x:c>
      <x:c r="C7" s="15" t="str">
        <x:v>Mermaid workflow</x:v>
      </x:c>
      <x:c r="D7" s="15" t="str">
        <x:v>workflow.mmd exists, is non-empty, and contains the workflow step labels or identifiers.</x:v>
      </x:c>
      <x:c r="E7" s="15" t="str">
        <x:v>file path; file size; matched step count</x:v>
      </x:c>
      <x:c r="F7" s="15" t="str"/>
      <x:c r="G7" s="15" t="str"/>
      <x:c r="H7" s="16" t="str"/>
      <x:c r="I7" s="15" t="str"/>
      <x:c r="J7" s="15" t="str"/>
      <x:c r="K7" s="15" t="str"/>
      <x:c r="L7" s="16" t="str"/>
      <x:c r="M7" s="15" t="str"/>
      <x:c r="N7" s="15" t="str"/>
    </x:row>
    <x:row r="8" ht="39.599998474121094" hidden="0" customHeight="1">
      <x:c r="A8" s="15" t="str">
        <x:v>Yes</x:v>
      </x:c>
      <x:c r="B8" s="15" t="str">
        <x:v>EQ3-P05</x:v>
      </x:c>
      <x:c r="C8" s="15" t="str">
        <x:v>BPMN workflow and traceability</x:v>
      </x:c>
      <x:c r="D8" s="15" t="str">
        <x:v>workflow.bpmn is well-formed XML and its mapping or element identifiers cover the blueprint workflow.</x:v>
      </x:c>
      <x:c r="E8" s="15" t="str">
        <x:v>file path; XML parser result; matched step/mapping count</x:v>
      </x:c>
      <x:c r="F8" s="15" t="str"/>
      <x:c r="G8" s="15" t="str"/>
      <x:c r="H8" s="16" t="str"/>
      <x:c r="I8" s="15" t="str"/>
      <x:c r="J8" s="15" t="str"/>
      <x:c r="K8" s="15" t="str"/>
      <x:c r="L8" s="16" t="str"/>
      <x:c r="M8" s="15" t="str"/>
      <x:c r="N8" s="15" t="str"/>
    </x:row>
    <x:row r="9" ht="66" hidden="0" customHeight="1">
      <x:c r="A9" s="15" t="str">
        <x:v>Yes</x:v>
      </x:c>
      <x:c r="B9" s="15" t="str">
        <x:v>EQ3-P06</x:v>
      </x:c>
      <x:c r="C9" s="15" t="str">
        <x:v>PoC scaffold completeness</x:v>
      </x:c>
      <x:c r="D9" s="15" t="str">
        <x:v>poc/ contains an executable entrypoint, dependency declaration, configuration/example environment, extraction prompt, and output schema or schema-generation assets.</x:v>
      </x:c>
      <x:c r="E9" s="15" t="str">
        <x:v>matched files; missing alternatives, if any</x:v>
      </x:c>
      <x:c r="F9" s="15" t="str"/>
      <x:c r="G9" s="15" t="str"/>
      <x:c r="H9" s="16" t="str"/>
      <x:c r="I9" s="15" t="str"/>
      <x:c r="J9" s="15" t="str"/>
      <x:c r="K9" s="15" t="str"/>
      <x:c r="L9" s="16" t="str"/>
      <x:c r="M9" s="15" t="str"/>
      <x:c r="N9" s="15" t="str"/>
    </x:row>
    <x:row r="10" ht="39.599998474121094" hidden="0" customHeight="1">
      <x:c r="A10" s="15" t="str">
        <x:v>Yes</x:v>
      </x:c>
      <x:c r="B10" s="15" t="str">
        <x:v>EQ3-P07</x:v>
      </x:c>
      <x:c r="C10" s="15" t="str">
        <x:v>Documentation completeness</x:v>
      </x:c>
      <x:c r="D10" s="15" t="str">
        <x:v>docs/ contains at least one non-empty use-case-specific document and the PoC contains usage instructions.</x:v>
      </x:c>
      <x:c r="E10" s="15" t="str">
        <x:v>document paths; file sizes</x:v>
      </x:c>
      <x:c r="F10" s="15" t="str"/>
      <x:c r="G10" s="15" t="str"/>
      <x:c r="H10" s="16" t="str"/>
      <x:c r="I10" s="15" t="str"/>
      <x:c r="J10" s="15" t="str"/>
      <x:c r="K10" s="15" t="str"/>
      <x:c r="L10" s="16" t="str"/>
      <x:c r="M10" s="15" t="str"/>
      <x:c r="N10" s="15" t="str"/>
    </x:row>
    <x:row r="11" ht="39.599998474121094" hidden="0" customHeight="1">
      <x:c r="A11" s="15" t="str">
        <x:v>Yes</x:v>
      </x:c>
      <x:c r="B11" s="15" t="str">
        <x:v>EQ3-P08</x:v>
      </x:c>
      <x:c r="C11" s="15" t="str">
        <x:v>Requirement-to-component traceability</x:v>
      </x:c>
      <x:c r="D11" s="15" t="str">
        <x:v>The blueprint traceability data connects selected module/component decisions to stated requirements.</x:v>
      </x:c>
      <x:c r="E11" s="15" t="str">
        <x:v>traceability entry count; module/component names; requirement references</x:v>
      </x:c>
      <x:c r="F11" s="15" t="str"/>
      <x:c r="G11" s="15" t="str"/>
      <x:c r="H11" s="16" t="str"/>
      <x:c r="I11" s="15" t="str"/>
      <x:c r="J11" s="15" t="str"/>
      <x:c r="K11" s="15" t="str"/>
      <x:c r="L11" s="16" t="str"/>
      <x:c r="M11" s="15" t="str"/>
      <x:c r="N11" s="15" t="str"/>
    </x:row>
  </x:sheetData>
  <x:mergeCells>
    <x:mergeCell ref="A1:N1"/>
    <x:mergeCell ref="A2:N2"/>
  </x:mergeCells>
  <x:conditionalFormatting sqref="I4:I11">
    <x:cfRule type="cellIs" dxfId="12" priority="1">
      <x:formula>"Yes"</x:formula>
    </x:cfRule>
    <x:cfRule type="cellIs" dxfId="13" priority="2">
      <x:formula>"No"</x:formula>
    </x:cfRule>
  </x:conditionalFormatting>
  <x:conditionalFormatting sqref="M4:M11">
    <x:cfRule type="cellIs" dxfId="14" priority="3">
      <x:formula>"Yes"</x:formula>
    </x:cfRule>
    <x:cfRule type="cellIs" dxfId="15" priority="4">
      <x:formula>"No"</x:formula>
    </x:cfRule>
  </x:conditionalFormatting>
  <x:dataValidations count="2">
    <x:dataValidation type="list" sqref="I4:I11">
      <x:formula1>"Yes,No"</x:formula1>
    </x:dataValidation>
    <x:dataValidation type="list" sqref="M4:M11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EQ4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successful PoC only when every mandatory EQ4 check for the original unmodified PoC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39.599998474121094" hidden="0" customHeight="1">
      <x:c r="A4" s="15" t="str">
        <x:v>Yes</x:v>
      </x:c>
      <x:c r="B4" s="15" t="str">
        <x:v>EQ4-X01</x:v>
      </x:c>
      <x:c r="C4" s="15" t="str">
        <x:v>PoC setup/build</x:v>
      </x:c>
      <x:c r="D4" s="15" t="str">
        <x:v>For the original unmodified PoC, the declared setup or import command completes with exit code 0.</x:v>
      </x:c>
      <x:c r="E4" s="15" t="str">
        <x:v>command; exit code; log excerpt</x:v>
      </x:c>
      <x:c r="F4" s="15" t="str"/>
      <x:c r="G4" s="15" t="str"/>
      <x:c r="H4" s="16" t="str"/>
      <x:c r="I4" s="15" t="str"/>
      <x:c r="J4" s="15" t="str"/>
      <x:c r="K4" s="15" t="str"/>
      <x:c r="L4" s="16" t="str"/>
      <x:c r="M4" s="15" t="str"/>
      <x:c r="N4" s="15" t="str"/>
    </x:row>
    <x:row r="5" ht="39.599998474121094" hidden="0" customHeight="1">
      <x:c r="A5" s="15" t="str">
        <x:v>Yes</x:v>
      </x:c>
      <x:c r="B5" s="15" t="str">
        <x:v>EQ4-X02</x:v>
      </x:c>
      <x:c r="C5" s="15" t="str">
        <x:v>End-to-end execution</x:v>
      </x:c>
      <x:c r="D5" s="15" t="str">
        <x:v>The original unmodified generated PoC processes incident_report_fi.wav and exits with code 0.</x:v>
      </x:c>
      <x:c r="E5" s="15" t="str">
        <x:v>command; input fixture path/hash; exit code; log excerpt</x:v>
      </x:c>
      <x:c r="F5" s="15" t="str"/>
      <x:c r="G5" s="15" t="str"/>
      <x:c r="H5" s="16" t="str"/>
      <x:c r="I5" s="15" t="str"/>
      <x:c r="J5" s="15" t="str"/>
      <x:c r="K5" s="15" t="str"/>
      <x:c r="L5" s="16" t="str"/>
      <x:c r="M5" s="15" t="str"/>
      <x:c r="N5" s="15" t="str"/>
    </x:row>
    <x:row r="6" ht="39.599998474121094" hidden="0" customHeight="1">
      <x:c r="A6" s="15" t="str">
        <x:v>Yes</x:v>
      </x:c>
      <x:c r="B6" s="15" t="str">
        <x:v>EQ4-X03</x:v>
      </x:c>
      <x:c r="C6" s="15" t="str">
        <x:v>Machine-readable output</x:v>
      </x:c>
      <x:c r="D6" s="15" t="str">
        <x:v>The original unmodified PoC generates a new non-empty JSON ticket that parses successfully.</x:v>
      </x:c>
      <x:c r="E6" s="15" t="str">
        <x:v>output path; file size; JSON parser result</x:v>
      </x:c>
      <x:c r="F6" s="15" t="str"/>
      <x:c r="G6" s="15" t="str"/>
      <x:c r="H6" s="16" t="str"/>
      <x:c r="I6" s="15" t="str"/>
      <x:c r="J6" s="15" t="str"/>
      <x:c r="K6" s="15" t="str"/>
      <x:c r="L6" s="16" t="str"/>
      <x:c r="M6" s="15" t="str"/>
      <x:c r="N6" s="15" t="str"/>
    </x:row>
    <x:row r="7" ht="52.79999923706055" hidden="0" customHeight="1">
      <x:c r="A7" s="15" t="str">
        <x:v>Yes</x:v>
      </x:c>
      <x:c r="B7" s="15" t="str">
        <x:v>EQ4-X04</x:v>
      </x:c>
      <x:c r="C7" s="15" t="str">
        <x:v>Fixture acceptance</x:v>
      </x:c>
      <x:c r="D7" s="15" t="str">
        <x:v>The original unmodified PoC output preserves the expected incident facts in expected_ticket.json and does not silently invent unsupported ticket facts.</x:v>
      </x:c>
      <x:c r="E7" s="15" t="str">
        <x:v>expected value; generated value; output JSON path; comparison explanation</x:v>
      </x:c>
      <x:c r="F7" s="15" t="str"/>
      <x:c r="G7" s="15" t="str"/>
      <x:c r="H7" s="16" t="str"/>
      <x:c r="I7" s="15" t="str"/>
      <x:c r="J7" s="15" t="str"/>
      <x:c r="K7" s="15" t="str"/>
      <x:c r="L7" s="16" t="str"/>
      <x:c r="M7" s="15" t="str"/>
      <x:c r="N7" s="15" t="str"/>
    </x:row>
  </x:sheetData>
  <x:mergeCells>
    <x:mergeCell ref="A1:N1"/>
    <x:mergeCell ref="A2:N2"/>
  </x:mergeCells>
  <x:conditionalFormatting sqref="I4:I7">
    <x:cfRule type="cellIs" dxfId="16" priority="1">
      <x:formula>"Yes"</x:formula>
    </x:cfRule>
    <x:cfRule type="cellIs" dxfId="17" priority="2">
      <x:formula>"No"</x:formula>
    </x:cfRule>
  </x:conditionalFormatting>
  <x:conditionalFormatting sqref="M4:M7">
    <x:cfRule type="cellIs" dxfId="18" priority="3">
      <x:formula>"Yes"</x:formula>
    </x:cfRule>
    <x:cfRule type="cellIs" dxfId="19" priority="4">
      <x:formula>"No"</x:formula>
    </x:cfRule>
  </x:conditionalFormatting>
  <x:dataValidations count="2">
    <x:dataValidation type="list" sqref="I4:I7">
      <x:formula1>"Yes,No"</x:formula1>
    </x:dataValidation>
    <x:dataValidation type="list" sqref="M4:M7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6" hidden="0" customWidth="1"/>
    <x:col min="4" max="4" width="18" hidden="0" customWidth="1"/>
    <x:col min="5" max="5" width="56" hidden="0" customWidth="1"/>
    <x:col min="6" max="6" width="25" hidden="0" customWidth="1"/>
    <x:col min="7" max="7" width="12" hidden="0" customWidth="1"/>
    <x:col min="8" max="8" width="48" hidden="0" customWidth="1"/>
  </x:cols>
  <x:sheetData>
    <x:row r="1" ht="28" customHeight="1">
      <x:c r="A1" s="3" t="str">
        <x:v>PoC recovery diagnostic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diagnostic. EQ4 remains based on the original unmodified PoC; recovery permits at most three wizard refinement attempts.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2" t="str">
        <x:v>Diagnostic</x:v>
      </x:c>
      <x:c r="B3" s="12" t="str">
        <x:v>Run 1 value</x:v>
      </x:c>
      <x:c r="C3" s="12" t="str">
        <x:v>Run 1 evidence</x:v>
      </x:c>
      <x:c r="D3" s="12" t="str">
        <x:v>Run 2 value</x:v>
      </x:c>
      <x:c r="E3" s="12" t="str">
        <x:v>Run 2 evidence</x:v>
      </x:c>
      <x:c r="F3" s="12" t="str">
        <x:v>Protocol value</x:v>
      </x:c>
      <x:c r="G3" s="12" t="str">
        <x:v>Scored?</x:v>
      </x:c>
      <x:c r="H3" s="12" t="str">
        <x:v>Interpretation</x:v>
      </x:c>
    </x:row>
    <x:row r="4" ht="76" customHeight="1">
      <x:c r="A4" s="15" t="str">
        <x:v>Original execution successful</x:v>
      </x:c>
      <x:c r="B4" s="15" t="str"/>
      <x:c r="C4" s="15" t="str"/>
      <x:c r="D4" s="15" t="str"/>
      <x:c r="E4" s="15" t="str"/>
      <x:c r="F4" s="15" t="str">
        <x:v>Yes or No</x:v>
      </x:c>
      <x:c r="G4" s="16" t="str">
        <x:v>No</x:v>
      </x:c>
      <x:c r="H4" s="15" t="str">
        <x:v>The original execution remains the EQ4 evidence source.</x:v>
      </x:c>
    </x:row>
    <x:row r="5" ht="76" customHeight="1">
      <x:c r="A5" s="15" t="str">
        <x:v>Refinement attempts to success</x:v>
      </x:c>
      <x:c r="B5" s="15" t="str"/>
      <x:c r="C5" s="15" t="str"/>
      <x:c r="D5" s="15" t="str"/>
      <x:c r="E5" s="15" t="str"/>
      <x:c r="F5" s="15" t="str">
        <x:v>0, 1, 2, 3, or N/A</x:v>
      </x:c>
      <x:c r="G5" s="16" t="str">
        <x:v>No</x:v>
      </x:c>
      <x:c r="H5" s="15" t="str">
        <x:v>0 means original success; N/A means never successful after three refinements.</x:v>
      </x:c>
    </x:row>
    <x:row r="6" ht="76" customHeight="1">
      <x:c r="A6" s="15" t="str">
        <x:v>Final execution successful</x:v>
      </x:c>
      <x:c r="B6" s="15" t="str"/>
      <x:c r="C6" s="15" t="str"/>
      <x:c r="D6" s="15" t="str"/>
      <x:c r="E6" s="15" t="str"/>
      <x:c r="F6" s="15" t="str">
        <x:v>Yes, No, or blank</x:v>
      </x:c>
      <x:c r="G6" s="16" t="str">
        <x:v>No</x:v>
      </x:c>
      <x:c r="H6" s="15" t="str">
        <x:v>Shows whether recovery ultimately produced an executable PoC.</x:v>
      </x:c>
    </x:row>
    <x:row r="7" ht="76" customHeight="1">
      <x:c r="A7" s="15" t="str">
        <x:v>Recovery status</x:v>
      </x:c>
      <x:c r="B7" s="15" t="str"/>
      <x:c r="C7" s="15" t="str"/>
      <x:c r="D7" s="15" t="str"/>
      <x:c r="E7" s="15" t="str"/>
      <x:c r="F7" s="15" t="str">
        <x:v>Protocol-controlled status</x:v>
      </x:c>
      <x:c r="G7" s="16" t="str">
        <x:v>No</x:v>
      </x:c>
      <x:c r="H7" s="15" t="str">
        <x:v>Stop after first success or after refinement attempt 3.</x:v>
      </x:c>
    </x:row>
  </x:sheetData>
  <x:mergeCells>
    <x:mergeCell ref="A1:N1"/>
    <x:mergeCell ref="A2:N2"/>
  </x:mergeCells>
  <x:pageMargins left="0.7" right="0.7" top="0.75" bottom="0.75" header="0.3" footer="0.3"/>
</x:worksheet>
</file>