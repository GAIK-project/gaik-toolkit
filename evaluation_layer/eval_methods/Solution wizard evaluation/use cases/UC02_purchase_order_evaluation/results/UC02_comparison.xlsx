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02317\Downloads\Wizard evaluation\UC02_purchase_order_evaluation\results\"/>
    </mc:Choice>
  </mc:AlternateContent>
  <xr:revisionPtr revIDLastSave="0" documentId="13_ncr:1_{4A950CBC-F5ED-48F8-BD11-E48508A3DED3}" xr6:coauthVersionLast="47" xr6:coauthVersionMax="47" xr10:uidLastSave="{00000000-0000-0000-0000-000000000000}"/>
  <bookViews>
    <workbookView xWindow="-120" yWindow="-120" windowWidth="29040" windowHeight="17520" activeTab="7" xr2:uid="{00000000-000D-0000-FFFF-FFFF00000000}"/>
  </bookViews>
  <sheets>
    <sheet name="Instructions" sheetId="1" r:id="rId1"/>
    <sheet name="Summary" sheetId="2" r:id="rId2"/>
    <sheet name="EQ1 Requirements" sheetId="3" r:id="rId3"/>
    <sheet name="EQ1 Diagnostics" sheetId="4" r:id="rId4"/>
    <sheet name="EQ2 Configuration" sheetId="5" r:id="rId5"/>
    <sheet name="EQ3 Package" sheetId="6" r:id="rId6"/>
    <sheet name="EQ4 Execution" sheetId="7" r:id="rId7"/>
    <sheet name="PoC Recovery" sheetId="8" r:id="rId8"/>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 l="1"/>
  <c r="B11" i="2"/>
  <c r="F8" i="2"/>
  <c r="D8" i="2"/>
  <c r="C8" i="2"/>
  <c r="F7" i="2"/>
  <c r="D7" i="2"/>
  <c r="C7" i="2"/>
  <c r="F6" i="2"/>
  <c r="D6" i="2"/>
  <c r="C6" i="2"/>
  <c r="F5" i="2"/>
  <c r="D5" i="2"/>
  <c r="C5" i="2"/>
  <c r="E8" i="2" l="1"/>
  <c r="E7" i="2"/>
  <c r="E6" i="2"/>
  <c r="E5" i="2"/>
</calcChain>
</file>

<file path=xl/sharedStrings.xml><?xml version="1.0" encoding="utf-8"?>
<sst xmlns="http://schemas.openxmlformats.org/spreadsheetml/2006/main" count="1052" uniqueCount="577">
  <si>
    <t>EQ1 Requirements</t>
  </si>
  <si>
    <t>Requirement capture recall. Review semantically equivalent values; an omitted oracle requirement remains a row and receives No.</t>
  </si>
  <si>
    <t>Scored?</t>
  </si>
  <si>
    <t>Check ID</t>
  </si>
  <si>
    <t>Oracle parameter</t>
  </si>
  <si>
    <t>Oracle expected value</t>
  </si>
  <si>
    <t>Oracle evidence/source</t>
  </si>
  <si>
    <t>Run 1 generated value</t>
  </si>
  <si>
    <t>Run 1 evidence</t>
  </si>
  <si>
    <t>Run 1 auto aid</t>
  </si>
  <si>
    <t>Run 1 verdict</t>
  </si>
  <si>
    <t>Run 2 generated value</t>
  </si>
  <si>
    <t>Run 2 evidence</t>
  </si>
  <si>
    <t>Run 2 auto aid</t>
  </si>
  <si>
    <t>Run 2 verdict</t>
  </si>
  <si>
    <t>Evaluator notes</t>
  </si>
  <si>
    <t>Yes</t>
  </si>
  <si>
    <t>EQ1-R01</t>
  </si>
  <si>
    <t>Primary user</t>
  </si>
  <si>
    <t>Order-processing employee</t>
  </si>
  <si>
    <t>initial_prompt.txt; scripted_answers.json</t>
  </si>
  <si>
    <t>Order-processing employees</t>
  </si>
  <si>
    <t>GENERATED BLUEPRINT business_spec.intended_users[0] = "order_processing_employees"; CONVERSATION L0067: "Order-processing employees are the intended users."</t>
  </si>
  <si>
    <t>needs_review</t>
  </si>
  <si>
    <t>order_processing_employees</t>
  </si>
  <si>
    <t>GENERATED BLUEPRINT business_spec.intended_users[0] = "order_processing_employees"</t>
  </si>
  <si>
    <t>EQ1-R02</t>
  </si>
  <si>
    <t>Current process</t>
  </si>
  <si>
    <t>Employees manually inspect customer purchase orders and enter header and line-item data into ERP.</t>
  </si>
  <si>
    <t>Employees manually inspect customer purchase orders and enter header and line-item information into ERP</t>
  </si>
  <si>
    <t>GENERATED BLUEPRINT business_spec.current_process = "Order-processing employees manually inspect customer purchase orders and enter header and line-item information into the ERP system."; CONVERSATION L0067: "Today, they inspect customer purchase orders and manually enter header and line-item information into the ERP system."</t>
  </si>
  <si>
    <t>Order-processing employees inspect customer purchase orders received as PDFs and manually enter header and line-item information into the ERP system.</t>
  </si>
  <si>
    <t>GENERATED BLUEPRINT business_spec.current_process = "Order-processing employees inspect customer purchase orders received as PDFs and manually enter header and line-item information into the ERP system. A procurement or order-processing reviewer then verifies the generated record before it is transferred."</t>
  </si>
  <si>
    <t>EQ1-R03</t>
  </si>
  <si>
    <t>Business problem</t>
  </si>
  <si>
    <t>Manual entry is slow and can introduce transcription or omission errors.</t>
  </si>
  <si>
    <t>Manual data entry is slow and error-prone; fewer transcription and omission errors targeted</t>
  </si>
  <si>
    <t>GENERATED BLUEPRINT business_spec.pain_points[0] = "Manual data entry is slow and error-prone"; business_spec.expected_value[2] = "Fewer transcription and omission errors"; CONVERSATION L0067: "The expected value is faster, more consistent order entry with fewer transcription and omission errors."</t>
  </si>
  <si>
    <t>Time-consuming manual data entry; transcription errors; omission errors</t>
  </si>
  <si>
    <t>GENERATED BLUEPRINT business_spec.pain_points[0] = "Time-consuming manual data entry from diverse PO formats"; business_spec.pain_points[1] = "Transcription errors (wrong quantities, prices, product codes, leading zeros)"; business_spec.pain_points[2] = "Omission errors (missed fields, rows, or units)"</t>
  </si>
  <si>
    <t>EQ1-R04</t>
  </si>
  <si>
    <t>Human reviewer</t>
  </si>
  <si>
    <t>Procurement or order-processing reviewer</t>
  </si>
  <si>
    <t>Procurement reviewer / order-processing reviewer</t>
  </si>
  <si>
    <t>GENERATED BLUEPRINT business_spec.reviewers[0] = "procurement_reviewer"; business_spec.reviewers[1] = "order_processing_reviewer"; business_process.participants[2].name = "Procurement / Order-Processing Reviewer"; CONVERSATION L0067: "A procurement or order-processing reviewer verifies the generated record before transfer."</t>
  </si>
  <si>
    <t>procurement_reviewer, order_processing_reviewer</t>
  </si>
  <si>
    <t>GENERATED BLUEPRINT business_spec.reviewers[0] = "procurement_reviewer"; business_spec.reviewers[1] = "order_processing_reviewer"</t>
  </si>
  <si>
    <t>EQ1-R05</t>
  </si>
  <si>
    <t>Expected value</t>
  </si>
  <si>
    <t>Faster and more consistent ERP data preparation with fewer manual errors.</t>
  </si>
  <si>
    <t>Faster order entry, more consistent ERP records, fewer transcription and omission errors</t>
  </si>
  <si>
    <t>GENERATED BLUEPRINT business_spec.expected_value = ["Faster order entry", "More consistent ERP records", "Fewer transcription and omission errors"]; CONVERSATION L0067: "The expected value is faster, more consistent order entry with fewer transcription and omission errors."</t>
  </si>
  <si>
    <t>Faster, more consistent order entry; fewer transcription and omission errors</t>
  </si>
  <si>
    <t>GENERATED BLUEPRINT business_spec.expected_value[0] = "Faster, more consistent order entry"; business_spec.expected_value[1] = "Fewer transcription and omission errors"</t>
  </si>
  <si>
    <t>EQ1-R06</t>
  </si>
  <si>
    <t>Primary input</t>
  </si>
  <si>
    <t>Customer purchase orders as PDF or scanned PDF email attachments.</t>
  </si>
  <si>
    <t>Customer purchase order PDFs, native and scanned</t>
  </si>
  <si>
    <t>GENERATED BLUEPRINT business_spec.input_artifacts[0] = "customer purchase order PDFs (native and scanned)"; technical_spec.input_types[0] = "pdf"; technical_spec.input_formats = ["native_pdf", "scanned_pdf"]; CONVERSATION L0131: "Inputs are customer purchase orders received as PDF files or scanned PDF email attachments."</t>
  </si>
  <si>
    <t>Customer purchase order PDFs (digital and scanned)</t>
  </si>
  <si>
    <t>GENERATED BLUEPRINT business_spec.input_artifacts[0] = "Customer purchase order PDFs (digital and scanned)"; technical_spec.input_types[0] = "pdf"; technical_spec.input_formats[0] = "digital_pdf"; technical_spec.input_formats[1] = "scanned_pdf"</t>
  </si>
  <si>
    <t>EQ1-R07</t>
  </si>
  <si>
    <t>Document-layout complexity</t>
  </si>
  <si>
    <t>Complex multi-page tables, merged or hierarchical headers, notes in table areas, and rows split across pages.</t>
  </si>
  <si>
    <t>Complex multi-page tables, merged/hierarchical headers, rows split across pages, notes inside table areas</t>
  </si>
  <si>
    <t>GENERATED BLUEPRINT technical_spec.domain_vocabulary[4] = "complex multi-page tables"; technical_spec.domain_vocabulary[5] = "merged and hierarchical headers"; technical_spec.domain_vocabulary[6] = "rows split across pages"; workflow.steps[1].parameters.additional_instructions = "... Do not merge distinct line items. When a table row is continued on the next page, capture all continued rows as separate line items ..."; CONVERSATION L0131: "The documents are in English and may contain complex multi-page tables, merged or hierarchical headers, rows split across pages, notes inside table areas..."</t>
  </si>
  <si>
    <t>Complex multi-page tables, merged/hierarchical headers, notes in table areas, rows split across page breaks</t>
  </si>
  <si>
    <t>GENERATED BLUEPRINT traceability[0].required_by = "input_type=pdf; scanned PDFs with complex multi-page tables, merged/hierarchical headers, and cross-page rows trigger accuracy override; chosen over DocumentsToStructuredData for highest extraction fidelity on visually complex documents"; FILE generated_package\poc\prompts\extraction_requirements.md excerpt: "Documents may contain: - Complex multi-column or multi-section tables - Merged or hierarchical table headers - Line-item rows that continue across page breaks - Notes, annotations, or commentary embedded within table areas"</t>
  </si>
  <si>
    <t>EQ1-R08</t>
  </si>
  <si>
    <t>Document language and identifiers</t>
  </si>
  <si>
    <t>English document text with alphanumeric identifiers, dates, dimensions, quantities, and units that must be preserved.</t>
  </si>
  <si>
    <t>English; preserve alphanumeric identifiers exactly including leading zeros</t>
  </si>
  <si>
    <t>GENERATED BLUEPRINT technical_spec.language = "en"; target_output_spec.validation_rules[3] = "Preserve all alphanumeric identifiers exactly, including leading zeros"; target_output_spec.field_descriptions.purchase_order_number = "Customer's purchase order reference number. Preserve exactly as written, including leading zeros and alphanumeric characters."; CONVERSATION L0131: "The documents are in English ... JSON keys are in English, and extracted text remains as written in the document."</t>
  </si>
  <si>
    <t>language=en; preserve alphanumeric identifiers, dates, dimensions with units, quantities with units</t>
  </si>
  <si>
    <t>GENERATED BLUEPRINT technical_spec.language = "en"; technical_spec.domain_vocabulary = "Four-digit item numbers (preserve leading zeros), case-sensitive article codes, vendor numbers, material grades, standards, dimensions with units, quantities with units, dates normalized to DD/MM/YYYY. product_form restricted to: Flat, round, rectangular bar. No separate domain glossary."</t>
  </si>
  <si>
    <t>EQ1-R09</t>
  </si>
  <si>
    <t>Target output</t>
  </si>
  <si>
    <t>ERP-compatible structured purchase-order record in JSON.</t>
  </si>
  <si>
    <t>ERP-compatible structured JSON record per purchase order</t>
  </si>
  <si>
    <t>GENERATED BLUEPRINT business_spec.target_outputs[0] = "ERP-compatible structured JSON record per purchase order"; technical_spec.output_types[0] = "structured_json"; target_output_spec.schema_name = "PurchaseOrderERPRecord"; CONVERSATION L0160: "The application provides the resulting ERP-compatible record as a downloadable JSON file for each purchase order."</t>
  </si>
  <si>
    <t>ERP-compatible JSON record</t>
  </si>
  <si>
    <t>GENERATED BLUEPRINT business_spec.target_outputs[0] = "ERP-compatible JSON record (downloadable)"; technical_spec.output_types[0] = "structured_json"; target_output_spec.schema_name = "PurchaseOrderERPRecord"</t>
  </si>
  <si>
    <t>EQ1-R10</t>
  </si>
  <si>
    <t>Header field: purchase-order number</t>
  </si>
  <si>
    <t>purchase_order_number; string; required</t>
  </si>
  <si>
    <t>purchase_order_number; str; required</t>
  </si>
  <si>
    <t>GENERATED BLUEPRINT target_output_spec.required_fields[0] = "purchase_order_number"; target_output_spec.field_types.purchase_order_number = "str"; target_output_spec.field_descriptions.purchase_order_number = "Customer's purchase order reference number. Preserve exactly as written, including leading zeros and alphanumeric characters."; CONVERSATION L0250: "Required header fields are purchase_order_number (string)..."</t>
  </si>
  <si>
    <t>GENERATED BLUEPRINT target_output_spec.fields[0] = "purchase_order_number"; target_output_spec.field_types.purchase_order_number = "str"; target_output_spec.required_fields[0] = "purchase_order_number"</t>
  </si>
  <si>
    <t>EQ1-R11</t>
  </si>
  <si>
    <t>Header field: delivery date</t>
  </si>
  <si>
    <t>delivery_date; string; required; DD/MM/YYYY</t>
  </si>
  <si>
    <t>delivery_date; str; required; DD/MM/YYYY</t>
  </si>
  <si>
    <t>GENERATED BLUEPRINT target_output_spec.required_fields[1] = "delivery_date"; target_output_spec.field_types.delivery_date = "str"; target_output_spec.field_descriptions.delivery_date = "Requested delivery date in DD/MM/YYYY format."; target_output_spec.validation_rules[0] = "delivery_date must match DD/MM/YYYY format"; CONVERSATION L0250: "delivery_date (string in DD/MM/YYYY)"</t>
  </si>
  <si>
    <t>GENERATED BLUEPRINT target_output_spec.fields[1] = "delivery_date"; target_output_spec.field_types.delivery_date = "str"; target_output_spec.required_fields[1] = "delivery_date"; target_output_spec.field_descriptions.delivery_date = "Requested delivery date, normalized to DD/MM/YYYY format."; target_output_spec.validation_rules[0] = "delivery_date must be in DD/MM/YYYY format"</t>
  </si>
  <si>
    <t>EQ1-R12</t>
  </si>
  <si>
    <t>Header field: delivery address</t>
  </si>
  <si>
    <t>delivery_address; string; required</t>
  </si>
  <si>
    <t>delivery_address; str; required</t>
  </si>
  <si>
    <t>GENERATED BLUEPRINT target_output_spec.required_fields[2] = "delivery_address"; target_output_spec.field_types.delivery_address = "str"; CONVERSATION L0250: "delivery_address (string)"</t>
  </si>
  <si>
    <t>GENERATED BLUEPRINT target_output_spec.fields[2] = "delivery_address"; target_output_spec.field_types.delivery_address = "str"; target_output_spec.required_fields[2] = "delivery_address"</t>
  </si>
  <si>
    <t>EQ1-R13</t>
  </si>
  <si>
    <t>Header field: vendor number</t>
  </si>
  <si>
    <t>vendor_number; string; required</t>
  </si>
  <si>
    <t>vendor_number; str; required</t>
  </si>
  <si>
    <t>GENERATED BLUEPRINT target_output_spec.required_fields[3] = "vendor_number"; target_output_spec.field_types.vendor_number = "str"; CONVERSATION L0250: "vendor_number (string)"</t>
  </si>
  <si>
    <t>GENERATED BLUEPRINT target_output_spec.fields[3] = "vendor_number"; target_output_spec.field_types.vendor_number = "str"; target_output_spec.required_fields[3] = "vendor_number"</t>
  </si>
  <si>
    <t>EQ1-R14</t>
  </si>
  <si>
    <t>Line-item collection</t>
  </si>
  <si>
    <t>line_items; required list with one object per purchase-order item</t>
  </si>
  <si>
    <t>line_items; required list with one entry per distinct line item</t>
  </si>
  <si>
    <t>GENERATED BLUEPRINT target_output_spec.required_fields[4] = "line_items"; target_output_spec.field_types.line_items = "list[LineItem]"; target_output_spec.field_descriptions.line_items = "List of ordered items, one entry per distinct line item."; CONVERSATION L0250: "line_items (list)"</t>
  </si>
  <si>
    <t>line_items; list[dict]; required; one per ordered item row</t>
  </si>
  <si>
    <t>GENERATED BLUEPRINT target_output_spec.fields[4] = "line_items"; target_output_spec.field_types.line_items = "list[dict]"; target_output_spec.required_fields[4] = "line_items"; target_output_spec.field_descriptions.line_items = "List of line-item records, one per ordered item row."</t>
  </si>
  <si>
    <t>EQ1-R15</t>
  </si>
  <si>
    <t>Line-item field: item number</t>
  </si>
  <si>
    <t>item_number; string; required; preserve leading zeros</t>
  </si>
  <si>
    <t>item_number; str; required; preserve leading zeros</t>
  </si>
  <si>
    <t>GENERATED BLUEPRINT target_output_spec.required_fields[5] = "item_number"; target_output_spec.field_types.item_number = "str"; target_output_spec.field_descriptions.item_number = "Line item sequence number or position identifier as written. Preserve leading zeros."; CONVERSATION L0250: "Every line item requires item_number... as strings."</t>
  </si>
  <si>
    <t>GENERATED BLUEPRINT target_output_spec.fields[5] = "item_number"; target_output_spec.field_types.item_number = "str"; target_output_spec.required_fields[5] = "item_number"; target_output_spec.field_descriptions.item_number = "Four-digit line item number; preserve leading zeros."; target_output_spec.validation_rules[2] = "item_number must preserve leading zeros as four-digit string"</t>
  </si>
  <si>
    <t>EQ1-R16</t>
  </si>
  <si>
    <t>Line-item field: article code</t>
  </si>
  <si>
    <t>article_code; string; required; preserve case and punctuation</t>
  </si>
  <si>
    <t>article_code; str; required; preserve exactly</t>
  </si>
  <si>
    <t>GENERATED BLUEPRINT target_output_spec.required_fields[6] = "article_code"; target_output_spec.field_types.article_code = "str"; target_output_spec.field_descriptions.article_code = "Customer's article or product code. Preserve exactly, including leading zeros and alphanumeric format."; CONVERSATION L0250: "Every line item requires ... article_code ... as strings."</t>
  </si>
  <si>
    <t>article_code; str; required; preserve case and punctuation</t>
  </si>
  <si>
    <t>GENERATED BLUEPRINT target_output_spec.fields[6] = "article_code"; target_output_spec.field_types.article_code = "str"; target_output_spec.required_fields[6] = "article_code"; target_output_spec.field_descriptions.article_code = "Case-sensitive article/product code exactly as written."; target_output_spec.validation_rules[3] = "article_code must preserve case and punctuation exactly"</t>
  </si>
  <si>
    <t>EQ1-R17</t>
  </si>
  <si>
    <t>Line-item field: dimensions</t>
  </si>
  <si>
    <t>dimensions; string; required; retain unit</t>
  </si>
  <si>
    <t>dimensions; str; required; retain units/as written</t>
  </si>
  <si>
    <t>GENERATED BLUEPRINT target_output_spec.required_fields[7] = "dimensions"; target_output_spec.field_types.dimensions = "str"; target_output_spec.field_descriptions.dimensions = "Dimensions of the ordered material (e.g. thickness x width x length) as written."; FILE generated_package\poc\prompts\extraction_requirements.md: "dimensions ... Capture the full dimension string as written, including units if present in the same cell. If units are only in the column header, append them."</t>
  </si>
  <si>
    <t>dimensions; str; required; exact string with unit</t>
  </si>
  <si>
    <t>GENERATED BLUEPRINT target_output_spec.fields[7] = "dimensions"; target_output_spec.field_types.dimensions = "str"; target_output_spec.required_fields[7] = "dimensions"; target_output_spec.field_descriptions.dimensions = "Dimensions string exactly as written (e.g. 12x1500x3000 mm)."; technical_spec.domain_vocabulary = "Four-digit item numbers (preserve leading zeros), case-sensitive article codes, vendor numbers, material grades, standards, dimensions with units, quantities with units, dates normalized to DD/MM/YYYY. product_form restricted to: Flat, round, rectangular bar. No separate domain glossary."</t>
  </si>
  <si>
    <t>EQ1-R18</t>
  </si>
  <si>
    <t>Line-item field: product form</t>
  </si>
  <si>
    <t>product_form; required; Flat, round, or rectangular bar</t>
  </si>
  <si>
    <t>product_form; required; Flat, round, rectangular bar</t>
  </si>
  <si>
    <t>GENERATED BLUEPRINT target_output_spec.required_fields[10] = "product_form"; target_output_spec.allowed_values.product_form = ["Flat", "round", "rectangular bar"]; target_output_spec.field_descriptions.product_form = "Physical form of the material. Must be one of: Flat, round, rectangular bar."; CONVERSATION L0250: "product_form is required and must be Flat, round, or rectangular bar."</t>
  </si>
  <si>
    <t>product_form; required; allowed values Flat, round, rectangular bar</t>
  </si>
  <si>
    <t>GENERATED BLUEPRINT target_output_spec.fields[10] = "product_form"; target_output_spec.required_fields[10] = "product_form"; target_output_spec.allowed_values.product_form[0] = "Flat"; target_output_spec.allowed_values.product_form[1] = "round"; target_output_spec.allowed_values.product_form[2] = "rectangular bar"</t>
  </si>
  <si>
    <t>EQ1-R19</t>
  </si>
  <si>
    <t>Line-item field: material grade</t>
  </si>
  <si>
    <t>material_grade; string; required</t>
  </si>
  <si>
    <t>material_grade; str; required</t>
  </si>
  <si>
    <t>GENERATED BLUEPRINT target_output_spec.required_fields[8] = "material_grade"; target_output_spec.field_types.material_grade = "str"; CONVERSATION L0250: "Every line item requires ... material_grade ... as strings."</t>
  </si>
  <si>
    <t>GENERATED BLUEPRINT target_output_spec.fields[8] = "material_grade"; target_output_spec.field_types.material_grade = "str"; target_output_spec.required_fields[8] = "material_grade"</t>
  </si>
  <si>
    <t>EQ1-R20</t>
  </si>
  <si>
    <t>Optional technical line-item fields</t>
  </si>
  <si>
    <t>standard_designation, cut_length, temper_or_condition, hardness_hv, min_bend_radius, delivery_length_note, applicable_standard, and special_flags</t>
  </si>
  <si>
    <t>standard_designation, cut_length, temper_or_condition, hardness_hv, min_bend_radius, delivery_length_note, applicable_standard, special_flags</t>
  </si>
  <si>
    <t>GENERATED BLUEPRINT target_output_spec.optional_fields = ["standard_designation", "cut_length", "temper_or_condition", "hardness_hv", "min_bend_radius", "delivery_length_note", "applicable_standard", "special_flags"]; CONVERSATION L0250: "Optional line-item fields are standard_designation, cut_length, temper_or_condition, hardness_hv (number), min_bend_radius (number), delivery_length_note, applicable_standard, and special_flags."</t>
  </si>
  <si>
    <t>GENERATED BLUEPRINT target_output_spec.optional_fields[0] = "standard_designation"; optional_fields[1] = "cut_length"; optional_fields[2] = "temper_or_condition"; optional_fields[3] = "hardness_hv"; optional_fields[4] = "min_bend_radius"; optional_fields[5] = "delivery_length_note"; optional_fields[6] = "applicable_standard"; optional_fields[7] = "special_flags"</t>
  </si>
  <si>
    <t>EQ1-R21</t>
  </si>
  <si>
    <t>Line-item field: quantity</t>
  </si>
  <si>
    <t>quantity; string; required; retain unit</t>
  </si>
  <si>
    <t>quantity; str; required; unit retained</t>
  </si>
  <si>
    <t>GENERATED BLUEPRINT target_output_spec.required_fields[9] = "quantity"; target_output_spec.field_types.quantity = "str"; target_output_spec.field_descriptions.quantity = "Ordered quantity as written, including numeric value and unit if present in the same cell."; CONVERSATION L0250: "Every line item requires ... quantity as strings."</t>
  </si>
  <si>
    <t>quantity; str; required; preserve unit exactly</t>
  </si>
  <si>
    <t>GENERATED BLUEPRINT target_output_spec.fields[9] = "quantity"; target_output_spec.field_types.quantity = "str"; target_output_spec.required_fields[9] = "quantity"; target_output_spec.field_descriptions.quantity = "Quantity including numeric value and unit exactly as written."</t>
  </si>
  <si>
    <t>EQ1-R22</t>
  </si>
  <si>
    <t>Missing-value policy</t>
  </si>
  <si>
    <t>Leave missing optional values null; never invent a value.</t>
  </si>
  <si>
    <t>Optional fields null; do not invent or infer values</t>
  </si>
  <si>
    <t>GENERATED BLUEPRINT target_output_spec.missing_value_policy = "Optional fields: set to null when absent. Required fields: flag for human review when missing or uncertain."; target_output_spec.validation_rules[2] = "Do not invent or infer values not present in the source document"; CONVERSATION L0192: "Do not infer or fabricate unstated values. Missing optional values remain null."</t>
  </si>
  <si>
    <t>missing_value_policy=null; must not invent or hallucinate values</t>
  </si>
  <si>
    <t>GENERATED BLUEPRINT target_output_spec.missing_value_policy = "null"; target_output_spec.validation_rules[5] = "Optional fields must be null (not empty string) when not present in the document"; target_output_spec.validation_rules[6] = "Must not invent or hallucinate values for fields not present in the document"</t>
  </si>
  <si>
    <t>EQ1-R23</t>
  </si>
  <si>
    <t>Uncertainty handling</t>
  </si>
  <si>
    <t>Flag missing or uncertain required values for human review.</t>
  </si>
  <si>
    <t>Flag missing or uncertain required fields for human review</t>
  </si>
  <si>
    <t>GENERATED BLUEPRINT target_output_spec.missing_value_policy = "Optional fields: set to null when absent. Required fields: flag for human review when missing or uncertain."; technical_spec.evaluation_requirements.flag_uncertain_required_fields = true; CONVERSATION L0192: "Missing or uncertain required values must be flagged for human review."</t>
  </si>
  <si>
    <t>include_verification=true; validation report to reviewer; no explicit uncertain-required escalation wording</t>
  </si>
  <si>
    <t>GENERATED BLUEPRINT workflow.steps[1].parameters.include_verification = true; workflow.steps[2].name = "Validate extracted record quality"; workflow.steps[3].name = "Send extracted record and validation report to reviewer"</t>
  </si>
  <si>
    <t>EQ1-R24</t>
  </si>
  <si>
    <t>Review evidence</t>
  </si>
  <si>
    <t>Reviewer receives the structured record, field-level confidence or uncertainty information, and original purchase-order PDF.</t>
  </si>
  <si>
    <t>Structured record + confidence/uncertainty information + original PDF</t>
  </si>
  <si>
    <t>GENERATED BLUEPRINT workflow.steps[3].inputs = ["extracted_po_json", "validation_report", "source_pdf"]; workflow.steps[4].inputs = ["extracted_po_json", "validation_report", "source_pdf"]; CONVERSATION L0159: "The system processes each purchase order and presents the extracted structured record together with the original PDF and confidence or uncertainty information."; L0192: "The reviewer must receive the structured record, confidence or uncertainty information, and the original purchase-order PDF..."</t>
  </si>
  <si>
    <t>structured record + validation report; original PDF not listed as reviewer input</t>
  </si>
  <si>
    <t>GENERATED BLUEPRINT workflow.steps[3].inputs[0] = "erp_record_json"; workflow.steps[3].inputs[1] = "validation_report"; workflow.steps[4].inputs[0] = "erp_record_json"; workflow.steps[4].inputs[1] = "validation_report"; searched artifacts.source_pdf, workflow.steps[*].inputs for reviewer receipt of original PDF</t>
  </si>
  <si>
    <t>EQ1-R25</t>
  </si>
  <si>
    <t>Review gate</t>
  </si>
  <si>
    <t>Human review follows extraction and precedes ERP transfer.</t>
  </si>
  <si>
    <t>Human review after extraction/validation and before approved JSON proceeds to ERP</t>
  </si>
  <si>
    <t>GENERATED BLUEPRINT workflow.steps[1].id = "extract_po_fields"; workflow.steps[2].id = "validate_extraction"; workflow.steps[4].id = "reviewer_review"; workflow.steps[4].depends_on[0] = "notify_reviewer"; technical_spec.integration_targets[0] = "downloadable_json_file"; CONVERSATION L0160: "Only approved data may proceed to ERP."</t>
  </si>
  <si>
    <t>Human review after extraction/validation and before ERP transfer</t>
  </si>
  <si>
    <t>GENERATED BLUEPRINT workflow.steps[1].id = "extract_po_fields"; workflow.steps[2].id = "validate_extraction"; workflow.steps[4].id = "reviewer_approves"; business_spec.success_criteria[2] = "Reviewer-verifiable record produced before any ERP transfer"; FILE generated_package\poc\run_poc.py excerpt: "Approved JSON may be transferred to ERP. Unreviewed records must NOT be transferred."</t>
  </si>
  <si>
    <t>EQ1-R26</t>
  </si>
  <si>
    <t>Review outcomes</t>
  </si>
  <si>
    <t>The reviewer can approve the record or return it with comments. When returned, the employee corrects the extracted record or uploads a corrected purchase order and resubmits it. The extraction and review cycle repeats until approval.</t>
  </si>
  <si>
    <t>Reviewer can approve or return with comments; employee corrects values or uploads corrected PO and resubmits; cycle repeats</t>
  </si>
  <si>
    <t>GENERATED BLUEPRINT workflow.steps[5].name = "Notify employee of return with reviewer comments"; workflow.steps[6].name = "Employee corrects extracted values or uploads corrected PO"; business_process.exceptions[0].outcome = "loop_to:employee_correct"; CONVERSATION L0159: "The employee can correct the extracted values or upload a corrected purchase order and then resubmit the record. The extraction and review cycle repeats until the reviewer approves the record. A returned record is not automatically discarded."</t>
  </si>
  <si>
    <t>Record returned for correction loops to upload_po</t>
  </si>
  <si>
    <t>GENERATED BLUEPRINT business_process.exceptions[0].name = "Record returned for correction"; business_process.exceptions[0].outcome = "loop_to:upload_po"; assumptions[3].text = "Business decision points beyond the approve/return-for-correction gateway were not specified; none added."</t>
  </si>
  <si>
    <t>EQ1-R27</t>
  </si>
  <si>
    <t>Integration scope</t>
  </si>
  <si>
    <t>Production target is ERP; PoC saves approved JSON and does not implement a live ERP API or database write.</t>
  </si>
  <si>
    <t>ERP target; downloadable JSON only; direct ERP API/database write out of scope</t>
  </si>
  <si>
    <t>GENERATED BLUEPRINT technical_spec.integration_targets[0] = "downloadable_json_file"; business_spec.target_outputs[0] = "ERP-compatible structured JSON record per purchase order"; CONVERSATION L0160: "A direct ERP API connection and automatic database write are outside the current scope."</t>
  </si>
  <si>
    <t>ERP is target; live ERP connection out of scope; PoC saves JSON</t>
  </si>
  <si>
    <t>GENERATED BLUEPRINT business_spec.poc_goal = "... Out of scope: live ERP connection, PDF report, customer-specific format evaluation, numerical accuracy threshold."; business_spec.target_outputs[0] = "ERP-compatible JSON record (downloadable)"; FILE generated_package\poc\run_poc.py excerpt: "result_path = output_dir / \"result.json\"" and "Approved JSON may be transferred to ERP."</t>
  </si>
  <si>
    <t>EQ1-R28</t>
  </si>
  <si>
    <t>Data classification</t>
  </si>
  <si>
    <t>Internal commercial purchase-order information with customer or supplier identifiers; fixture contains no personal data.</t>
  </si>
  <si>
    <t>Internal commercial information with customer/supplier identifiers; blueprint marks contains_personal_data as yes</t>
  </si>
  <si>
    <t>GENERATED BLUEPRINT technical_spec.security_constraints = "POs contain internal commercial information and customer/supplier identifiers. External model APIs are permitted. Local-only processing is not required."; governance.data_handling.contains_personal_data = "yes"; governance.data_handling.output_sensitivity = "medium"; CONVERSATION L0133: "Purchase orders contain internal commercial information and customer or supplier identifiers."</t>
  </si>
  <si>
    <t>internal sensitive commercial data; personal data unknown</t>
  </si>
  <si>
    <t>GENERATED BLUEPRINT assumptions[6].text = "PO content (commercial information, customer/supplier identifiers) is treated as internal sensitive data. Whether it constitutes personal data is unknown pending legal assessment."; governance.data_handling.output_sensitivity = "internal"; governance.data_handling.contains_personal_data = "unknown"</t>
  </si>
  <si>
    <t>EQ1-R29</t>
  </si>
  <si>
    <t>External model API policy</t>
  </si>
  <si>
    <t>Allowed; local-only processing is not required.</t>
  </si>
  <si>
    <t>External model APIs allowed; local-only processing not required</t>
  </si>
  <si>
    <t>GENERATED BLUEPRINT governance.data_handling.external_model_api_allowed = true; governance.data_handling.local_processing_required = false; technical_spec.security_constraints = "POs contain internal commercial information and customer/supplier identifiers. External model APIs are permitted. Local-only processing is not required."; CONVERSATION L0133: "External model APIs are allowed, and local-only processing is not required."</t>
  </si>
  <si>
    <t>external_model_api_allowed=true; local_processing_required=false</t>
  </si>
  <si>
    <t>GENERATED BLUEPRINT governance.data_handling.external_model_api_allowed = true; governance.data_handling.local_processing_required = false</t>
  </si>
  <si>
    <t>EQ1-R30</t>
  </si>
  <si>
    <t>Input-document retention</t>
  </si>
  <si>
    <t>PoC must not create a retained duplicate after processing; original remains in the source document system.</t>
  </si>
  <si>
    <t>stores_input_data = false</t>
  </si>
  <si>
    <t>GENERATED BLUEPRINT governance.data_handling.stores_input_data = false; searched conversation for explicit statement about original remaining in source document system and not retaining duplicate: NOT FOUND</t>
  </si>
  <si>
    <t>stores_input_data=false; original remains in source document system; PO content must not be retained after processing</t>
  </si>
  <si>
    <t>GENERATED BLUEPRINT governance.data_handling.stores_input_data = false; technical_spec.security_constraints[0] = "PO content must not be retained after processing"; technical_spec.security_constraints[1] = "Original remains in source document system"</t>
  </si>
  <si>
    <t>EQ1-R31</t>
  </si>
  <si>
    <t>Retained evidence</t>
  </si>
  <si>
    <t>Approved JSON and review decision may be retained; no exact retention period.</t>
  </si>
  <si>
    <t>stores_outputs = true; retention_policy = not_specified</t>
  </si>
  <si>
    <t>GENERATED BLUEPRINT governance.data_handling.stores_outputs = true; governance.data_handling.retention_policy = "not_specified"; searched conversation for explicit review-decision retention statement: NOT FOUND</t>
  </si>
  <si>
    <t>Approved JSON and review decision may be retained; retention period not specified</t>
  </si>
  <si>
    <t>GENERATED BLUEPRINT technical_spec.security_constraints[2] = "Approved JSON and review decision may be retained (no exact retention period specified)"; governance.data_handling.stores_outputs = true; governance.data_handling.retention_policy = "not_specified"</t>
  </si>
  <si>
    <t>EQ1-R32</t>
  </si>
  <si>
    <t>PoC interface</t>
  </si>
  <si>
    <t>Command-line interface accepting a PDF path and saving JSON.</t>
  </si>
  <si>
    <t>Web application</t>
  </si>
  <si>
    <t>GENERATED BLUEPRINT technical_spec.runtime_interface = "web_application"; runtime.interface = "web_application"; CONVERSATION L0159: "Order-processing employees will interact with the system through a web application."</t>
  </si>
  <si>
    <t>CLI with --input PDF path; writes result.json</t>
  </si>
  <si>
    <t>GENERATED BLUEPRINT runtime.interface = "cli"; runtime.entrypoint = "poc/run_poc.py"; FILE generated_package\poc\run_poc.py excerpt: "parser.add_argument('--input', type=Path, default=None, help='Path to a specific purchase order PDF ...')" and "result_path = output_dir / 'result.json'"</t>
  </si>
  <si>
    <t>EQ1-R33</t>
  </si>
  <si>
    <t>Stakeholder and party scope</t>
  </si>
  <si>
    <t>Customer is the external source of the purchase order; internal order-processing employee and reviewer are the required PoC participants.</t>
  </si>
  <si>
    <t>Customer is external sender; internal participants are order-processing employee and reviewer</t>
  </si>
  <si>
    <t>GENERATED BLUEPRINT business_process.external_parties[0].name = "Customer"; business_process.participants[0].name = "Order-Processing Employee"; business_process.participants[2].name = "Procurement / Order-Processing Reviewer"; CONVERSATION L0067: "Customers are external document senders, but they do not use the PoC."</t>
  </si>
  <si>
    <t>Customer external party; internal order-processing employees and reviewers</t>
  </si>
  <si>
    <t>GENERATED BLUEPRINT business_process.external_parties[0].name = "Customer"; business_spec.intended_users[0] = "order_processing_employees"; business_spec.reviewers[0] = "procurement_reviewer"; business_spec.reviewers[1] = "order_processing_reviewer"</t>
  </si>
  <si>
    <t>EQ1-R34</t>
  </si>
  <si>
    <t>Business and PoC success criteria</t>
  </si>
  <si>
    <t>Faster, less error-prone, reviewer-verifiable ERP preparation plus successful execution over the supplied fixture; no numerical improvement threshold.</t>
  </si>
  <si>
    <t>Faster/more consistent ERP prep, fewer errors, reviewer-verifiable record, sample PDF in fixture, no numerical targets</t>
  </si>
  <si>
    <t>GENERATED BLUEPRINT business_spec.success_criteria = ["Faster and more consistent ERP data preparation", "Fewer manual transcription and omission errors", "Every record is reviewer-verified before ERP transfer"]; business_spec.poc_goal = "Extract header and line-item fields from a sample purchase order PDF, produce structured JSON ready for reviewer verification, and confirm no fields are invented or garbled."; technical_spec.evaluation_requirements.test_data = "sample PDF available in fixture"; CONVERSATION L0100: "No numerical time-saving, accuracy, or cost-saving target is specified."</t>
  </si>
  <si>
    <t>Faster/more consistent prep, fewer errors, reviewer-verifiable output, successful fixture execution; no numerical threshold</t>
  </si>
  <si>
    <t>GENERATED BLUEPRINT business_spec.success_criteria[0] = "Faster and more consistent ERP data preparation"; success_criteria[1] = "Fewer manual transcription and omission errors"; success_criteria[2] = "Reviewer-verifiable record produced before any ERP transfer"; business_spec.poc_goal = "Given a supplied sample purchase-order PDF, extract the required header fields and all three line items ... must accept the PDF, exit successfully, generate a non-empty parseable JSON record ... Compare result semantically with fixtures/expected_erp_record.json. ... numerical accuracy threshold."; technical_spec.evaluation_requirements.numerical_accuracy_threshold = "not_specified"</t>
  </si>
  <si>
    <t>EQ1-R35</t>
  </si>
  <si>
    <t>Principal risks</t>
  </si>
  <si>
    <t>Layout loss, cross-page row errors, merged items, altered codes or leading zeros, dropped units, invented values, and transfer without approval.</t>
  </si>
  <si>
    <t>Loss of table structure, merged items, cross-page row misses, altered codes/leading zeros, dropped units, invented values, unreviewed transfer</t>
  </si>
  <si>
    <t>GENERATED BLUEPRINT business_spec.risks = ["Loss of complex table structure during extraction", "Merging of distinct line items", "Missing rows that continue across pages", "Alteration of product codes or leading zeros", "Dropping units of measure", "Inventing (hallucinating) field values", "Transferring an unreviewed record to the ERP"]; CONVERSATION L0100: "The main risks are losing table structure, merging different line items, missing a row continued across pages, altering product codes or leading zeros, dropping units, inventing missing values, and transferring an unreviewed record."</t>
  </si>
  <si>
    <t>Losing table structure, merging items, cross-page row misses, altered codes/leading zeros, dropped units, invented values, unreviewed transfer</t>
  </si>
  <si>
    <t>GENERATED BLUEPRINT business_spec.risks[0] = "Losing table structure during extraction"; risks[1] = "Merging different line items"; risks[2] = "Missing a row continued across pages"; risks[3] = "Altering product codes or leading zeros"; risks[4] = "Dropping units"; risks[5] = "Inventing missing values (hallucination)"; risks[6] = "Transferring an unreviewed record"</t>
  </si>
  <si>
    <t>EQ1-R36</t>
  </si>
  <si>
    <t>Domain vocabulary and exact identifiers</t>
  </si>
  <si>
    <t>Four-digit item numbers, case-sensitive article codes, vendor numbers, material grades, standards, dates, dimensions, quantities, and units; no separate glossary.</t>
  </si>
  <si>
    <t>Preserve identifiers exactly; domain vocabulary includes product identifiers, material grades, standards, unit codes; no glossary</t>
  </si>
  <si>
    <t>GENERATED BLUEPRINT technical_spec.domain_vocabulary = ["alphanumeric product identifiers", "material grades", "standard designations", "unit of measure codes", "complex multi-page tables", "merged and hierarchical headers", "rows split across pages"]; target_output_spec.validation_rules[3] = "Preserve all alphanumeric identifiers exactly, including leading zeros"; searched blueprint/conversation for explicit separate glossary: NOT FOUND</t>
  </si>
  <si>
    <t>Four-digit item numbers, case-sensitive article codes, vendor numbers, material grades, standards, dates, dimensions with units, quantities with units; no separate domain glossary</t>
  </si>
  <si>
    <t>GENERATED BLUEPRINT technical_spec.domain_vocabulary = "Four-digit item numbers (preserve leading zeros), case-sensitive article codes, vendor numbers, material grades, standards, dimensions with units, quantities with units, dates normalized to DD/MM/YYYY. product_form restricted to: Flat, round, rectangular bar. No separate domain glossary."</t>
  </si>
  <si>
    <t>EQ1-R37</t>
  </si>
  <si>
    <t>Model and provider preference</t>
  </si>
  <si>
    <t>Azure OpenAI; extraction model gpt-5.4 and temperature 0.0 recorded as assumption/default</t>
  </si>
  <si>
    <t>GENERATED BLUEPRINT technical_spec.model_provider = "azure_openai"; technical_spec.model_preferences.extraction_model = "gpt-5.4"; technical_spec.model_preferences.temperature = 0.0; assumptions[1].id = "assumption_002" with text = "Extraction model defaults to gpt-5.4 with temperature 0.0 on Azure OpenAI, as no specific model or temperature was requested."; CONVERSATION L0133: "AI model provider = Azure OpenAI"</t>
  </si>
  <si>
    <t>Specific provider/model defaulted by wizard assumptions: azure_openai, gpt-5.4, temperature 0.0</t>
  </si>
  <si>
    <t>GENERATED BLUEPRINT technical_spec.model_provider = "azure_openai"; technical_spec.model_preferences.extraction_model = "gpt-5.4"; technical_spec.model_preferences.temperature = 0.0; assumptions[4].text = "No specific Azure OpenAI deployment name or model version was provided; defaulting to gpt-5.4 with temperature 0.0 per wizard defaults."</t>
  </si>
  <si>
    <t>EQ1-R38</t>
  </si>
  <si>
    <t>Required output formats</t>
  </si>
  <si>
    <t>Final machine-readable JSON record plus original document and confidence/uncertainty review evidence; no formatted PDF, HTML, or DOCX report.</t>
  </si>
  <si>
    <t>Structured JSON output; reviewer also gets original PDF and confidence/uncertainty info; PDF report not specified</t>
  </si>
  <si>
    <t>GENERATED BLUEPRINT technical_spec.output_types[0] = "structured_json"; workflow.steps[3].inputs = ["extracted_po_json", "validation_report", "source_pdf"]; assumptions[0].text = "No formatted PDF report is required as an output for this PoC. The downloadable JSON is the only output artefact."; CONVERSATION L0191: "PDF report: Not specified for this evaluation."</t>
  </si>
  <si>
    <t>structured_json output; review evidence includes validation_report; no PDF/HTML/DOCX report required</t>
  </si>
  <si>
    <t>GENERATED BLUEPRINT technical_spec.output_types[0] = "structured_json"; business_spec.target_outputs[0] = "ERP-compatible JSON record (downloadable)"; artifacts.validation_report.type = "validation_report"; business_spec.poc_goal = "... Out of scope: live ERP connection, PDF report, customer-specific format evaluation, numerical accuracy threshold."</t>
  </si>
  <si>
    <t>EQ1-R39</t>
  </si>
  <si>
    <t>Target schema structure, types, and formats</t>
  </si>
  <si>
    <t>PurchaseOrderERPRecord uses parent_with_nested_list; required headers and line-item strings/list are enforced; dates use DD/MM/YYYY; product_form uses its controlled values; optional numeric/text fields may be null.</t>
  </si>
  <si>
    <t>PurchaseOrderERPRecord, parent_with_nested_list; required headers and line-item strings/list; DD/MM/YYYY; product_form controlled values; optionals nullable</t>
  </si>
  <si>
    <t>GENERATED BLUEPRINT target_output_spec.schema_name = "PurchaseOrderERPRecord"; target_output_spec.structure = "parent_with_nested_list"; target_output_spec.field_types = {"purchase_order_number":"str","delivery_date":"str","delivery_address":"str","vendor_number":"str","line_items":"list[LineItem]","item_number":"str","article_code":"str","dimensions":"str","material_grade":"str","quantity":"str","product_form":"str","standard_designation":"str | None","cut_length":"str | None","temper_or_condition":"str | None","hardness_hv":"float | None","min_bend_radius":"float | None","delivery_length_note":"str | None","applicable_standard":"str | None","special_flags":"str | None"}; target_output_spec.allowed_values.product_form = ["Flat","round","rectangular bar"]; target_output_spec.validation_rules[0] = "delivery_date must match DD/MM/YYYY format"</t>
  </si>
  <si>
    <t>PurchaseOrderERPRecord; parent_with_nested_list; required string headers and list[dict] line_items; DD/MM/YYYY; product_form controlled values; optional fields may be null</t>
  </si>
  <si>
    <t>GENERATED BLUEPRINT target_output_spec.schema_name = "PurchaseOrderERPRecord"; target_output_spec.structure = "parent_with_nested_list"; target_output_spec.field_types.purchase_order_number = "str"; field_types.delivery_date = "str"; field_types.delivery_address = "str"; field_types.vendor_number = "str"; field_types.line_items = "list[dict]"; target_output_spec.required_fields = ["purchase_order_number","delivery_date","delivery_address","vendor_number","line_items","item_number","article_code","dimensions","material_grade","quantity","product_form"]; target_output_spec.allowed_values.product_form = ["Flat","round","rectangular bar"]; target_output_spec.missing_value_policy = "null"</t>
  </si>
  <si>
    <t>EQ1-R40</t>
  </si>
  <si>
    <t>Confidence and output validation</t>
  </si>
  <si>
    <t>Field-level confidence score 0-1 and short reason are required when supported; required keys and item count must match; identifiers and units are exact; values are source-grounded.</t>
  </si>
  <si>
    <t>Confidence scores 0.0-1.0 with reasons; validate required field coverage and exact identifiers; no invented values</t>
  </si>
  <si>
    <t>GENERATED BLUEPRINT technical_spec.evaluation_requirements.confidence_scores = true; technical_spec.evaluation_requirements.confidence_score_range = "0.0 to 1.0"; technical_spec.evaluation_requirements.confidence_reasons = true; technical_spec.evaluation_requirements.metrics = ["field_exact_match", "confidence_score_distribution", "required_field_coverage"]; target_output_spec.validation_rules[2] = "Do not invent or infer values not present in the source document"; target_output_spec.validation_rules[3] = "Preserve all alphanumeric identifiers exactly, including leading zeros"; CONVERSATION L0192: "Include field-level confidence scores from 0 to 1 and short confidence reasons..."</t>
  </si>
  <si>
    <t>confidence_required=not_specified; validation checks exact identifiers, units, null optional fields, no hallucinated values; fixture line_items count compared</t>
  </si>
  <si>
    <t>GENERATED BLUEPRINT target_output_spec.confidence_required = "not_specified"; target_output_spec.validation_rules[2] = "item_number must preserve leading zeros as four-digit string"; validation_rules[3] = "article_code must preserve case and punctuation exactly"; validation_rules[4] = "vendor_number must preserve leading zeros"; validation_rules[5] = "Optional fields must be null (not empty string) when not present in the document"; validation_rules[6] = "Must not invent or hallucinate values for fields not present in the document"; FILE generated_package\poc\run_poc.py excerpt: "print(f'  line_items count: expected={len(exp_items)}  got={len(got_items)}')"</t>
  </si>
  <si>
    <t>EQ1-R41</t>
  </si>
  <si>
    <t>Employee interaction and business-process detail</t>
  </si>
  <si>
    <t>Order-processing employees use a web application to upload one or more purchase-order PDFs. The system extracts a structured record for each purchase order and provides the original document, extracted values, and confidence or uncertainty information for review. The employee or reviewer can correct and approve the record. The application provides an ERP-compatible downloadable JSON file for each approved purchase order. Only approved data may proceed to ERP.</t>
  </si>
  <si>
    <t>scripted_answers.json</t>
  </si>
  <si>
    <t>Web app for upload of one or more PO PDFs; extraction with original PDF and confidence/uncertainty for review; correct/approve; downloadable JSON; only approved data proceeds to ERP</t>
  </si>
  <si>
    <t>CONVERSATION L0159-L0160: "Order-processing employees will interact with the system through a web application. The application will allow employees to upload one or more purchase-order PDFs. The system processes each purchase order and presents the extracted structured record together with the original PDF and confidence or uncertainty information. An internal procurement or order-processing reviewer can check and correct the extracted values and then approve the record or return it for correction... The application provides the resulting ERP-compatible record as a downloadable JSON file for each purchase order. Only approved data may proceed to ERP."; GENERATED BLUEPRINT technical_spec.runtime_interface = "web_application"; workflow.steps[0].name = "Upload purchase order PDF"; workflow.steps[4].name = "Reviewer inspects and approves or returns record"</t>
  </si>
  <si>
    <t>Upload purchase order PDF; extract structured record; send record and validation report to reviewer; reviewer verifies and approves; downloadable JSON not explicit in workflow but PoC writes result.json via CLI</t>
  </si>
  <si>
    <t>GENERATED BLUEPRINT workflow.steps[0].name = "Upload purchase order PDF"; workflow.steps[1].name = "Extract PO header and line items"; workflow.steps[3].name = "Send extracted record and validation report to reviewer"; workflow.steps[4].name = "Reviewer verifies and approves ERP record"; business_spec.target_outputs[0] = "ERP-compatible JSON record (downloadable)"; FILE generated_package\poc\run_poc.py excerpt: "result_path = output_dir / 'result.json'"; searched use_case.description, business_spec.current_process, workflow.steps for explicit "web application" and "one or more PDFs" wording</t>
  </si>
  <si>
    <t>EQ1-R42</t>
  </si>
  <si>
    <t>Security, access, audit, and evaluation scope</t>
  </si>
  <si>
    <t>External APIs allowed; no retained input duplicate; approved JSON and decision may be retained; production authentication, RBAC, ERP credentials, and full audit logging are outside scope; fixture acceptance requires successful execution, JSON parsing, three-item preservation, and no unsupported values.</t>
  </si>
  <si>
    <t>External APIs allowed; no stored input data; outputs stored with unspecified retention; audit_log_required false; evaluation covers fixture/sample PDF and exact-match/confidence/coverage metrics</t>
  </si>
  <si>
    <t>GENERATED BLUEPRINT governance.data_handling.external_model_api_allowed = true; governance.data_handling.local_processing_required = false; governance.data_handling.stores_input_data = false; governance.data_handling.stores_outputs = true; governance.data_handling.retention_policy = "not_specified"; governance.data_handling.audit_log_required = false; technical_spec.evaluation_requirements.metrics = ["field_exact_match", "confidence_score_distribution", "required_field_coverage"]; technical_spec.evaluation_requirements.test_data = "sample PDF available in fixture"; searched blueprint/conversation for explicit "RBAC", "authentication", "ERP credentials", "full audit logging outside scope", and exact fixture acceptance criteria "JSON parsing, three-item preservation, no unsupported values": NOT FOUND</t>
  </si>
  <si>
    <t>External APIs allowed; no retained input duplicate; approved JSON/decision may be retained; auth/RBAC/ERP credentials/audit logging out of scope; fixture acceptance includes successful execution, parseable JSON, three line items, preserved identifiers/units, no unsupported invented values</t>
  </si>
  <si>
    <t>GENERATED BLUEPRINT technical_spec.security_constraints[0] = "PO content must not be retained after processing"; technical_spec.security_constraints[1] = "Original remains in source document system"; technical_spec.security_constraints[2] = "Approved JSON and review decision may be retained (no exact retention period specified)"; technical_spec.security_constraints[3] = "Authentication, RBAC, ERP credentials, and full audit-log implementation are out of PoC scope"; technical_spec.security_constraints[4] = "External model APIs allowed; local-only processing not required"; business_spec.poc_goal = "... must accept the PDF, exit successfully, generate a non-empty parseable JSON record, preserve identifiers/leading zeros/article codes/dates/quantities/dimensions/units, and must not invent unsupported values for missing optional fields. Compare result semantically with fixtures/expected_erp_record.json."; governance.data_handling.audit_log_required = false</t>
  </si>
  <si>
    <t>UC02 evaluation review workbook</t>
  </si>
  <si>
    <t>The workbook displays oracle and wizard evidence side by side. Automated aids never replace the evaluator's Yes/No verdict.</t>
  </si>
  <si>
    <t>Step</t>
  </si>
  <si>
    <t>Action</t>
  </si>
  <si>
    <t>1</t>
  </si>
  <si>
    <t>For each run, select its generated_package folder; then send initial_prompt.txt and use scripted_answers.md. No path or provenance metadata needs to be entered. At every routine confirmation, answer Yes and proceed without changes.</t>
  </si>
  <si>
    <t>2</t>
  </si>
  <si>
    <t>Save each conversation and complete generated package under runs/run_01 and runs/run_02.</t>
  </si>
  <si>
    <t>3</t>
  </si>
  <si>
    <t>Run run_poc_evaluation.py with attempt 0. This original, unmodified execution is the only execution used for EQ4.</t>
  </si>
  <si>
    <t>4</t>
  </si>
  <si>
    <t>If attempt 0 fails, return its execution evidence to the wizard and run refinement attempts 1-3 in order. Stop at first success.</t>
  </si>
  <si>
    <t>5</t>
  </si>
  <si>
    <t>If all three refinements fail, poc_recovery.json records N/A. Refined success never overwrites EQ4.</t>
  </si>
  <si>
    <t>6</t>
  </si>
  <si>
    <t>Run collect_evidence.py --run all. Use --use-llm only to locate/align evidence; the LLM does not decide verdicts.</t>
  </si>
  <si>
    <t>7</t>
  </si>
  <si>
    <t>Rebuild this workbook with build_workbook.py so the Run 1 and Run 2 value/evidence columns are populated. No npm installation is required.</t>
  </si>
  <si>
    <t>8</t>
  </si>
  <si>
    <t>For every scored row, compare the oracle value with the generated value and inspect the adjacent evidence.</t>
  </si>
  <si>
    <t>9</t>
  </si>
  <si>
    <t>Enter Yes only when the generated result satisfies the accepted meaning. Enter No when it does not or when it is missing.</t>
  </si>
  <si>
    <t>10</t>
  </si>
  <si>
    <t>For missing requirements, keep NOT FOUND and its search evidence; do not remove the row. It remains in the denominator.</t>
  </si>
  <si>
    <t>11</t>
  </si>
  <si>
    <t>The Auto aid column reports deterministic pass/fail/needs_review evidence. It is not the final verdict.</t>
  </si>
  <si>
    <t>12</t>
  </si>
  <si>
    <t>Run score_workbook.py after every scored row in both runs has a Yes or No verdict.</t>
  </si>
  <si>
    <t>Evidence rule</t>
  </si>
  <si>
    <t>Every verdict must be supported by an adjacent JSON path/value, conversation line, file check, command/exit code, log excerpt, or output comparison.</t>
  </si>
  <si>
    <t>EQ1</t>
  </si>
  <si>
    <t>Requirement capture recall = pooled Yes verdicts / pooled scored requirement checks across two runs.</t>
  </si>
  <si>
    <t>EQ2</t>
  </si>
  <si>
    <t>Configuration constraint satisfaction = pooled Yes verdicts / pooled configuration checks across two runs.</t>
  </si>
  <si>
    <t>UC02 evaluation summary</t>
  </si>
  <si>
    <t>Scores appear only after all required human verdicts are entered. EQ3 and EQ4 use an all-mandatory-checks pass rule per run.</t>
  </si>
  <si>
    <t>EQ</t>
  </si>
  <si>
    <t>Metric</t>
  </si>
  <si>
    <t>Run 1</t>
  </si>
  <si>
    <t>Run 2</t>
  </si>
  <si>
    <t>Combined score</t>
  </si>
  <si>
    <t>Completed verdicts</t>
  </si>
  <si>
    <t>Required verdicts</t>
  </si>
  <si>
    <t>Interpretation</t>
  </si>
  <si>
    <t>Requirement capture recall</t>
  </si>
  <si>
    <t>Pooled row-level recall</t>
  </si>
  <si>
    <t>Configuration constraint satisfaction</t>
  </si>
  <si>
    <t>Pooled constraint satisfaction</t>
  </si>
  <si>
    <t>EQ3</t>
  </si>
  <si>
    <t>Valid solution package rate</t>
  </si>
  <si>
    <t>Run passes only if all EQ3 rows are Yes</t>
  </si>
  <si>
    <t>EQ4</t>
  </si>
  <si>
    <t>PoC execution success rate</t>
  </si>
  <si>
    <t>Run passes only if all EQ4 rows are Yes</t>
  </si>
  <si>
    <t>Diagnostic</t>
  </si>
  <si>
    <t>Reporting</t>
  </si>
  <si>
    <t>Not included in headline scores</t>
  </si>
  <si>
    <t>Unsupported assumptions</t>
  </si>
  <si>
    <t>Yes/No diagnostic verdict counts</t>
  </si>
  <si>
    <t>Review provider/model, retention, SLA/scale commitments</t>
  </si>
  <si>
    <t>Refinement attempts to success</t>
  </si>
  <si>
    <t>0, 1, 2, 3, or N/A</t>
  </si>
  <si>
    <t>Original EQ4 is unchanged</t>
  </si>
  <si>
    <t>Recovery status</t>
  </si>
  <si>
    <t>Initially successful, recovered, pending, or unsuccessful</t>
  </si>
  <si>
    <t>Maximum three refinement attempts</t>
  </si>
  <si>
    <t>Note</t>
  </si>
  <si>
    <t>Blank verdicts mean the evaluation is incomplete, not zero performance.</t>
  </si>
  <si>
    <t>EQ1 Diagnostics</t>
  </si>
  <si>
    <t>Unscored transparency diagnostic for unsupported commitments. Evidence is still mandatory.</t>
  </si>
  <si>
    <t>No</t>
  </si>
  <si>
    <t>EQ1-D01</t>
  </si>
  <si>
    <t>Unsupported provider/model commitment</t>
  </si>
  <si>
    <t>scripted_answers.json#SA08</t>
  </si>
  <si>
    <t>Model provider = Azure OpenAI; extraction model = gpt-5.4; temperature = 0.0, recorded as defaults/assumptions when not user-specified</t>
  </si>
  <si>
    <t>Conversation L0380-L0381: "Extraction model | `gpt-5.4` *(assumption_002 — no model specified; defaulting to gpt-5.4, temperature 0.0)*" and "Temperature | `0.0`"; L0440: "assumption_002 | Extraction model = `gpt-5.4`, temperature = `0.0` on Azure OpenAI (no model preference was stated)". Generated blueprint: $.technical_spec.model_provider = "azure_openai"; $.technical_spec.model_preferences.extraction_model = "gpt-5.4"; $.technical_spec.model_preferences.temperature = 0.0; $.assumptions[1].text = "Extraction model defaults to gpt-5.4 with temperature 0.0 on Azure OpenAI, as no specific model or temperature was requested."; $.models.provider = "azure_openai"; $.models.extraction_model = "gpt-5.4"; $.models.temperature = 0.0. PoC config: generated_package\poc\config.yaml -&gt; provider: azure_openai; models.extraction: gpt-5.4; models.temperature: 0.0</t>
  </si>
  <si>
    <t>Defaulted provider/model settings were added as unconfirmed assumptions and concrete values were also populated elsewhere: azure_openai, gpt-5.4, temperature 0.0</t>
  </si>
  <si>
    <t>GENERATED BLUEPRINT technical_spec.model_provider = "azure_openai"; technical_spec.model_preferences.extraction_model = "gpt-5.4"; technical_spec.model_preferences.temperature = 0.0; models.provider = "azure_openai"; models.extraction_model = "gpt-5.4"; models.temperature = 0.0; assumptions[4].text = "No specific Azure OpenAI deployment name or model version was provided; defaulting to gpt-5.4 with temperature 0.0 per wizard defaults."; assumptions[4].status = "unconfirmed". Additional package evidence: generated_package\poc\config.yaml -&gt; provider: azure_openai, models.extraction: gpt-5.4, models.temperature: 0.0; generated_package\poc\run_poc.py excerpt: VisionExtractor(model_provider="openai", use_azure=use_azure, ...); _LLMJudge(model_provider="azure", use_azure=use_azure)</t>
  </si>
  <si>
    <t>EQ1-D02</t>
  </si>
  <si>
    <t>Unsupported retention period</t>
  </si>
  <si>
    <t>No exact retention period was supplied.</t>
  </si>
  <si>
    <t>scripted_answers.json#SA06</t>
  </si>
  <si>
    <t>retention_policy = not_specified</t>
  </si>
  <si>
    <t>Generated blueprint: $.governance.data_handling.retention_policy = "not_specified". Searched conversation for retention/duration terms; no exact retention period stated.</t>
  </si>
  <si>
    <t>Retention period not specified</t>
  </si>
  <si>
    <t>GENERATED BLUEPRINT governance.data_handling.retention_policy = "not_specified"; technical_spec.security_constraints[2] = "Approved JSON and review decision may be retained (no exact retention period specified)"</t>
  </si>
  <si>
    <t>EQ1-D03</t>
  </si>
  <si>
    <t>Unsupported SLA, volume, budget, or deployment commitment</t>
  </si>
  <si>
    <t>No SLA, throughput, volume, budget, or deployment topology was supplied.</t>
  </si>
  <si>
    <t>No direct ERP API connection / automatic database write are outside current scope; downloadable JSON only; runtime interface = web application</t>
  </si>
  <si>
    <t>Conversation L0160: "A direct ERP API connection and automatic database write are outside the current scope." Conversation L0383-L0387: "Integration targets | Downloadable JSON file (no direct ERP API — out of scope)" and "Runtime interface | Web application". Generated blueprint: $.technical_spec.integration_targets[0] = "downloadable_json_file"; $.technical_spec.runtime_interface = "web_application"; $.workflow.steps[4].name = "Reviewer inspects and approves or returns record"; $.business_process.exceptions[0].outcome = "loop_to:employee_correct". Searched conversation/blueprint for SLA, throughput, volume, budget, deployment topology commitments; none found beyond the above scope statements.</t>
  </si>
  <si>
    <t>No SLA/throughput/volume/budget/deployment commitment found; out-of-scope note says live ERP connection is out of scope</t>
  </si>
  <si>
    <t>Searched GENERATED BLUEPRINT fields including business_spec, technical_spec, runtime, package, workflow, governance, evaluation, traceability, assumptions, and PoC files generated_package\poc\run_poc.py, generated_package\poc\config.yaml, generated_package\poc\prompts\extraction_requirements.md. Closest explicit evidence: business_spec.poc_goal = "... Out of scope: live ERP connection, PDF report, customer-specific format evaluation, numerical accuracy threshold."; technical_spec.integration_targets = []; no exact JSON path/value found for SLA, throughput, volume, budget, or deployment topology.</t>
  </si>
  <si>
    <t>EQ2 Configuration</t>
  </si>
  <si>
    <t>GAIK component constraints for complex-layout purchase orders, including VisionExtractor verification and the human review gate.</t>
  </si>
  <si>
    <t>EQ2-C01</t>
  </si>
  <si>
    <t>Knowledge-process classification</t>
  </si>
  <si>
    <t>knowledge_capture</t>
  </si>
  <si>
    <t>GAIK registry; initial_prompt.txt</t>
  </si>
  <si>
    <t>GENERATED BLUEPRINT: use_case.knowledge_processes[0] = "knowledge_capture"</t>
  </si>
  <si>
    <t>GENERATED BLUEPRINT $.use_case.knowledge_processes = ["knowledge_capture"]</t>
  </si>
  <si>
    <t>EQ2-C02</t>
  </si>
  <si>
    <t>Complex-layout component selection</t>
  </si>
  <si>
    <t>VisionExtractor (id: vision_extractor)</t>
  </si>
  <si>
    <t>GAIK registry known limitations and best_for; SA02</t>
  </si>
  <si>
    <t>VisionExtractor</t>
  </si>
  <si>
    <t>GENERATED BLUEPRINT: components.selected_building_blocks[0] = "VisionExtractor"; workflow.steps[1].component = "VisionExtractor"; Conversation L0517: "VisionExtractor is preferred over DocumentsToStructuredData"</t>
  </si>
  <si>
    <t>GENERATED BLUEPRINT $.components.selected_building_blocks = ["VisionExtractor", "LLMJudge"]; GENERATED BLUEPRINT $.workflow.steps[1].component = "VisionExtractor"; GENERATED BLUEPRINT $.traceability[0].component = "VisionExtractor" with $.traceability[0].required_by = "input_type=pdf; scanned PDFs with complex multi-page tables, merged/hierarchical headers, and cross-page rows trigger accuracy override; chosen over DocumentsToStructuredData for highest extraction fidelity on visually complex documents"</t>
  </si>
  <si>
    <t>EQ2-C03</t>
  </si>
  <si>
    <t>Layout-aware PDF/image processing</t>
  </si>
  <si>
    <t>VisionExtractor processes the original PDF/image content directly; no text-only parser is relied on for the scored fixture.</t>
  </si>
  <si>
    <t>GAIK registry; SA02</t>
  </si>
  <si>
    <t>VisionExtractor processes source_pdf directly from PDF input</t>
  </si>
  <si>
    <t>GENERATED BLUEPRINT: technical_spec.input_types[0] = "pdf"; workflow.steps[1].inputs[0] = "source_pdf"; workflow.steps[1].component = "VisionExtractor". PoC file generated_package\poc\run_poc.py: `source_pdf_path = _find_input(sample_dir, (".pdf", ...))`; `vr = extractor.extract(file_paths=[source_pdf_path], user_requirements=user_requirements)`; comment: `VisionExtractor processes page images directly — there is no intermediate text transcript`</t>
  </si>
  <si>
    <t>VisionExtractor processes PDF directly</t>
  </si>
  <si>
    <t>GENERATED BLUEPRINT $.technical_spec.input_types = ["pdf"]; GENERATED BLUEPRINT $.workflow.steps[1].inputs = ["source_pdf"]; GENERATED BLUEPRINT $.artifacts.source_pdf.type = "pdf"; FILE generated_package\poc\run_poc.py excerpt: `vr = extractor.extract(file_paths=[source_pdf_path], user_requirements=user_requirements, extraction_model=schema_class if schema_class else None, requirements=requirements if requirements else None,)` and source_pdf_path is selected from `--input` or a `.pdf` file</t>
  </si>
  <si>
    <t>EQ2-C04</t>
  </si>
  <si>
    <t>Verification option</t>
  </si>
  <si>
    <t>include_verification = true</t>
  </si>
  <si>
    <t>GAIK registry; SA04</t>
  </si>
  <si>
    <t>GENERATED BLUEPRINT: workflow.steps[1].parameters.include_verification = true. PoC file generated_package\poc\run_poc.py: `VisionExtractor(... include_verification=True, ...)`</t>
  </si>
  <si>
    <t>GENERATED BLUEPRINT $.workflow.steps[1].parameters.include_verification = true; FILE generated_package\poc\run_poc.py excerpt: `extractor = VisionExtractor(..., include_verification=True, merge_table=True, ...)`</t>
  </si>
  <si>
    <t>EQ2-C05</t>
  </si>
  <si>
    <t>Structured extraction task and schema</t>
  </si>
  <si>
    <t>VisionExtractor has a task and schema/requirements assets defining PurchaseOrderERPRecord and its nested line items.</t>
  </si>
  <si>
    <t>GAIK registry required_parameters; SA03; SA11</t>
  </si>
  <si>
    <t>task + schema assets for PurchaseOrderERPRecord with nested line items</t>
  </si>
  <si>
    <t>GENERATED BLUEPRINT: target_output_spec.schema_name = "PurchaseOrderERPRecord"; target_output_spec.structure = "parent_with_nested_list"; workflow.steps[1].parameters.task = "Extract a structured ERP purchase order record from the PDF, capturing header fields (purchase_order_number, delivery_date, delivery_address, vendor_number) and all line items (item_number, article_code, dimensions, material_grade, quantity, product_form, and optional material specification fields). Handle multi-page tables, merged headers, and rows split across pages."; workflow.steps[1].parameters.schema_ref = "schemas/output_schema.py"; workflow.steps[1].parameters.requirements_ref = "schemas/output_schema_requirements.json". PoC prompt file generated_package\poc\prompts\extraction_requirements.md: `# Extraction Requirements — PurchaseOrderERPRecord` and `line_items (required, list of LineItem objects)`</t>
  </si>
  <si>
    <t>task + schema_ref + requirements_ref for PurchaseOrderERPRecord</t>
  </si>
  <si>
    <t>GENERATED BLUEPRINT $.target_output_spec.schema_name = "PurchaseOrderERPRecord"; GENERATED BLUEPRINT $.workflow.steps[1].parameters.task = "Extract purchase order header fields (PO number, delivery date, delivery address, vendor number) and all line items from the document into an ERP-compatible structured record."; GENERATED BLUEPRINT $.workflow.steps[1].parameters.schema_ref = "schemas/output_schema.py"; GENERATED BLUEPRINT $.workflow.steps[1].parameters.requirements_ref = "schemas/output_schema_requirements.json"; FILE generated_package\poc\prompts\extraction_requirements.md excerpt: `The output must conform to the \`PurchaseOrderERPRecord\` schema` and JSON example includes nested `line_items` objects</t>
  </si>
  <si>
    <t>EQ2-C06</t>
  </si>
  <si>
    <t>No redundant executable extraction pipeline</t>
  </si>
  <si>
    <t>The PoC invokes VisionExtractor once and does not also execute DocumentsToStructuredData or a separate MultimodalParser-to-Extractor pipeline over the same input.</t>
  </si>
  <si>
    <t>GAIK registry; scenario design</t>
  </si>
  <si>
    <t>Single executable extraction path via VisionExtractor; separate LLMJudge validation</t>
  </si>
  <si>
    <t>GENERATED BLUEPRINT: workflow.steps components are [null, "VisionExtractor", "LLMJudge", null, null, null, null]; components.selected_modules = []; components.selected_building_blocks = ["VisionExtractor", "LLMJudge"]. PoC file generated_package\poc\run_poc.py: one extraction call `vr = extractor.extract(file_paths=[source_pdf_path], user_requirements=user_requirements)` and one separate validation call `report = judge.detect_hallucinations(source_text=source_text, extracted=extracted_for_judge)`; searched for `DocumentsToStructuredData`, `MultimodalParser`, and additional extractor invocations in run_poc.py — NOT FOUND</t>
  </si>
  <si>
    <t>Single VisionExtractor execution path</t>
  </si>
  <si>
    <t>GENERATED BLUEPRINT $.workflow.steps has one extraction step with $.workflow.steps[1].component = "VisionExtractor" and no step with component "DocumentsToStructuredData" or a parser-to-extractor chain; FILE generated_package\poc\run_poc.py excerpt: only one extractor instantiation/invocation appears — `from gaik.software_components.vision_extractor import VisionExtractor`, then `extractor = VisionExtractor(...)`, then `vr = extractor.extract(file_paths=[source_pdf_path], ...)`; searched blueprint components/workflow and PoC for `DocumentsToStructuredData`, `MultimodalParser`, additional `extract(` calls</t>
  </si>
  <si>
    <t>EQ2-C07</t>
  </si>
  <si>
    <t>Review placement</t>
  </si>
  <si>
    <t>Human review follows structured extraction and precedes ERP transfer.</t>
  </si>
  <si>
    <t>SA05</t>
  </si>
  <si>
    <t>Review after extraction/validation and before approved JSON / ERP progression</t>
  </si>
  <si>
    <t>GENERATED BLUEPRINT: workflow.steps[1].id = "extract_po_fields"; workflow.steps[2].id = "validate_extraction"; workflow.steps[4].id = "reviewer_review" with depends_on[0] = "notify_reviewer"; workflow.steps[4].inputs = ["extracted_po_json", "validation_report", "source_pdf"]; workflow.steps[4].outputs[0] = "approved_po_json"; technical_spec.integration_targets[0] = "downloadable_json_file". Conversation L0160: "Only approved data may proceed to ERP."</t>
  </si>
  <si>
    <t>Review after extraction/validation and before ERP transfer</t>
  </si>
  <si>
    <t>GENERATED BLUEPRINT $.workflow.steps[4].name = "Reviewer verifies and approves ERP record" with $.workflow.steps[4].depends_on = ["notify_reviewer"]; GENERATED BLUEPRINT $.business_spec.proposed_solution = "AI-powered extraction of PO header and line-item fields from PDF documents into a structured ERP-compatible JSON record, followed by reviewer verification before transfer."; FILE generated_package\poc\run_poc.py excerpt: `print("Approved JSON may be transferred to ERP. Unreviewed records must NOT be transferred.")` and comment `# A procurement or order-processing reviewer verifies the record before transfer.`</t>
  </si>
  <si>
    <t>EQ2-C08</t>
  </si>
  <si>
    <t>Review inputs</t>
  </si>
  <si>
    <t>SA04; SA05</t>
  </si>
  <si>
    <t>Reviewer receives structured record + validation/confidence info + original PDF</t>
  </si>
  <si>
    <t>GENERATED BLUEPRINT: workflow.steps[4].inputs = ["extracted_po_json", "validation_report", "source_pdf"]; business_spec.proposed_solution = "Automatically extract structured PO data using AI, present the result alongside confidence information and the original PDF for reviewer verification, and export an approved ERP-compatible JSON record." Conversation L0192: "The reviewer must receive the structured record, confidence or uncertainty information, and the original purchase-order PDF"</t>
  </si>
  <si>
    <t>Reviewer gets erp_record_json and validation_report</t>
  </si>
  <si>
    <t>GENERATED BLUEPRINT $.workflow.steps[3].name = "Send extracted record and validation report to reviewer" with $.workflow.steps[3].inputs = ["erp_record_json", "validation_report"]; GENERATED BLUEPRINT $.workflow.steps[4].inputs = ["erp_record_json", "validation_report"]; searched for original PDF at review step in $.workflow.steps[*].inputs, $.artifacts, and $.business_process.manual_steps; NOT FOUND for original PDF being provided to reviewer</t>
  </si>
  <si>
    <t>EQ2-C09</t>
  </si>
  <si>
    <t>PoC output behavior</t>
  </si>
  <si>
    <t>CLI accepts a PDF and saves JSON; live ERP API/database integration is not required.</t>
  </si>
  <si>
    <t>SA05; SA07</t>
  </si>
  <si>
    <t>PoC run via local script on PDF input and writes JSON output; direct ERP integration out of scope</t>
  </si>
  <si>
    <t>PoC file generated_package\poc\run_poc.py: docstring `Usage:\n    python run_poc.py`; input loader `source_pdf_path = _find_input(sample_dir, (".pdf", ...))`; output writer `(output_dir / "result.json").write_text(...)`; validation writer `(output_dir / "validation.json").write_text(...)`. GENERATED BLUEPRINT: technical_spec.integration_targets[0] = "downloadable_json_file". Conversation L0160: "A direct ERP API connection and automatic database write are outside the current scope."</t>
  </si>
  <si>
    <t>CLI accepts PDF input and writes JSON output</t>
  </si>
  <si>
    <t>GENERATED BLUEPRINT $.runtime.interface = "cli"; GENERATED BLUEPRINT $.runtime.entrypoint = "poc/run_poc.py"; GENERATED BLUEPRINT $.technical_spec.integration_targets = []; FILE generated_package\poc\run_poc.py excerpt: argparse defines `--input` with help `Path to a specific purchase order PDF`; `_find_input(sample_dir, (".pdf",))`; output saved via `result_path = output_dir / "result.json"` and `result_path.write_text(json.dumps(extracted_fields, indent=2, ensure_ascii=False, default=str), encoding="utf-8")`; FILE generated_package\poc\run_poc.py comment/excerpt: `# In production: deliver result.json to reviewer via the ERP workflow system.` and `Approved JSON may be transferred to ERP.`</t>
  </si>
  <si>
    <t>EQ3 Package</t>
  </si>
  <si>
    <t>A run is a valid solution package only when every mandatory EQ3 check receives Yes.</t>
  </si>
  <si>
    <t>EQ3-P01</t>
  </si>
  <si>
    <t>Blueprint presence and JSON parsing</t>
  </si>
  <si>
    <t>generated_package/use_case.blueprint.json exists, is non-empty, and parses as JSON.</t>
  </si>
  <si>
    <t>file path; size; JSON parser result</t>
  </si>
  <si>
    <t>Blueprint parsed; 21835 bytes.</t>
  </si>
  <si>
    <t>C:\Users\h02317\Downloads\Wizard evaluation\UC02_purchase_order_evaluation\runs\run_01\generated_package\use_case.blueprint.json: JSON parsed successfully.</t>
  </si>
  <si>
    <t>pass</t>
  </si>
  <si>
    <t>Blueprint parsed; 20736 bytes.</t>
  </si>
  <si>
    <t>C:\Users\h02317\Downloads\Wizard evaluation\UC02_purchase_order_evaluation\runs\run_02\generated_package\use_case.blueprint.json: JSON parsed successfully.</t>
  </si>
  <si>
    <t>EQ3-P02</t>
  </si>
  <si>
    <t>Official blueprint validation</t>
  </si>
  <si>
    <t>The GAIK Solution Wizard validator returns exit code 0 with no blocking errors.</t>
  </si>
  <si>
    <t>validator command; exit code; validator output excerpt</t>
  </si>
  <si>
    <t>Validator exit code 0.</t>
  </si>
  <si>
    <t>Resolution: auto-discovered at C:\Users\h02317\gaik-toolkit\implementation_layer\solution_wizard\scripts\validate_blueprint.py; command: ['C:\\Users\\h02317\\AppData\\Local\\Programs\\Python\\Python312\\python.exe', 'C:\\Users\\h02317\\gaik-toolkit\\implementation_layer\\solution_wizard\\scripts\\validate_blueprint.py', '--blueprint', 'C:\\Users\\h02317\\Downloads\\Wizard evaluation\\UC02_purchase_order_evaluation\\runs\\run_01\\generated_package\\use_case.blueprint.json']; cwd: C:\Users\h02317\gaik-toolkit\implementation_layer\solution_wizard; output: Validation PASSED
  WARNING Rule 10 [step: extract_po_fields]: Parameter 'schema_ref' = 'schemas/output_schema.py' in step 'extract_po_fields' references a path that cannot be verified at design time. Ensure this file exists at runtime or mark as 'to_be_generated'.
  WARNING Rule 10 [step: extract_po_fields]: Parameter 'requirements_ref' = 'schemas/output_schema_requirements.json' in step 'extract_po_fields' references a path that cannot be verified at design time. Ensure this file exists at runtime or mark as 'to_be_generated'.
  WARNING Rule 11: High-impact assumption 'assumption_002' is still unconfirmed. Resolve before production packaging. Text: "Extraction model defaults to gpt-5.4 with temperature 0.0 on Azure OpenAI, as no specific model or temperature was requested."</t>
  </si>
  <si>
    <t>Resolution: auto-discovered at C:\Users\h02317\gaik-toolkit\implementation_layer\solution_wizard\scripts\validate_blueprint.py; command: ['C:\\Users\\h02317\\AppData\\Local\\Programs\\Python\\Python312\\python.exe', 'C:\\Users\\h02317\\gaik-toolkit\\implementation_layer\\solution_wizard\\scripts\\validate_blueprint.py', '--blueprint', 'C:\\Users\\h02317\\Downloads\\Wizard evaluation\\UC02_purchase_order_evaluation\\runs\\run_02\\generated_package\\use_case.blueprint.json']; cwd: C:\Users\h02317\gaik-toolkit\implementation_layer\solution_wizard; output: Validation PASSED
  WARNING Rule 10 [step: extract_po_fields]: Parameter 'schema_ref' = 'schemas/output_schema.py' in step 'extract_po_fields' references a path that cannot be verified at design time. Ensure this file exists at runtime or mark as 'to_be_generated'.
  WARNING Rule 10 [step: extract_po_fields]: Parameter 'requirements_ref' = 'schemas/output_schema_requirements.json' in step 'extract_po_fields' references a path that cannot be verified at design time. Ensure this file exists at runtime or mark as 'to_be_generated'.
  WARNING Rule 11: High-impact assumption 'assumption_002' is still unconfirmed. Resolve before production packaging. Text: "No specific Azure OpenAI deployment name or model version was provided; defaulting to gpt-5.4 with temperature 0.0 per wizard defaults."
  WARNING Rule 11: High-impact assumption 'assumption_003' is still unconfirmed. Resolve before production packaging. Text: "Confidence scoring per field is not required for this PoC (not specified by user)."
  WARNING Rule 11: High-impact assumption 'assumption_004' is still unconfirmed. Resolve before production packaging. Text: "PO content (commercial information, customer/supplier identifiers) is treated as internal sensitive data. Whether it constitutes personal data is unknown pending legal assessment."</t>
  </si>
  <si>
    <t>EQ3-P03</t>
  </si>
  <si>
    <t>Artifact-flow consistency</t>
  </si>
  <si>
    <t>Step inputs/outputs reference declared artifacts; generated artifacts have valid producers; dependencies are resolvable.</t>
  </si>
  <si>
    <t>blueprint steps, artifacts, dependencies, and producer mapping</t>
  </si>
  <si>
    <t>Artifact flow is internally consistent.</t>
  </si>
  <si>
    <t>Checked 7 workflow steps and 4 artifacts. Undeclared references: none; invalid dependencies: none; producer mismatches: none.</t>
  </si>
  <si>
    <t>Checked 5 workflow steps and 3 artifacts. Undeclared references: none; invalid dependencies: none; producer mismatches: none.</t>
  </si>
  <si>
    <t>EQ3-P04</t>
  </si>
  <si>
    <t>Mermaid workflow</t>
  </si>
  <si>
    <t>workflow.mmd exists, is non-empty, and contains the workflow step labels or identifiers.</t>
  </si>
  <si>
    <t>file path; size; workflow-step coverage</t>
  </si>
  <si>
    <t>Mermaid workflow present and covers steps.</t>
  </si>
  <si>
    <t>C:\Users\h02317\Downloads\Wizard evaluation\UC02_purchase_order_evaluation\runs\run_01\generated_package\workflow.mmd; 1009 bytes; matched 7/7 steps: ['upload_po', 'extract_po_fields', 'validate_extraction', 'notify_reviewer', 'reviewer_review', 'notify_employee', 'employee_correct'].</t>
  </si>
  <si>
    <t>C:\Users\h02317\Downloads\Wizard evaluation\UC02_purchase_order_evaluation\runs\run_02\generated_package\workflow.mmd; 701 bytes; matched 5/5 steps: ['upload_po', 'extract_po_fields', 'validate_extraction', 'notify_reviewer', 'reviewer_approves'].</t>
  </si>
  <si>
    <t>EQ3-P05</t>
  </si>
  <si>
    <t>BPMN workflow and traceability</t>
  </si>
  <si>
    <t>workflow.bpmn is well-formed XML and its mapping or element identifiers cover the blueprint workflow.</t>
  </si>
  <si>
    <t>XML parser result; blueprint-to-BPMN mapping coverage</t>
  </si>
  <si>
    <t>BPMN parsed and maps workflow steps.</t>
  </si>
  <si>
    <t>C:\Users\h02317\Downloads\Wizard evaluation\UC02_purchase_order_evaluation\runs\run_01\generated_package\workflow.bpmn; XML parsed; 121 element ids; matched 7/7 blueprint steps through BPMN ids/names/mapping.</t>
  </si>
  <si>
    <t>C:\Users\h02317\Downloads\Wizard evaluation\UC02_purchase_order_evaluation\runs\run_02\generated_package\workflow.bpmn; XML parsed; 86 element ids; matched 5/5 blueprint steps through BPMN ids/names/mapping.</t>
  </si>
  <si>
    <t>EQ3-P06</t>
  </si>
  <si>
    <t>PoC scaffold completeness</t>
  </si>
  <si>
    <t>poc/ contains an executable entrypoint, dependency declaration, configuration/example environment, document-extraction prompt, and nested output schema or schema-generation assets.</t>
  </si>
  <si>
    <t>PoC file manifest by required category</t>
  </si>
  <si>
    <t>PoC scaffold contains all required file categories.</t>
  </si>
  <si>
    <t>C:\Users\h02317\Downloads\Wizard evaluation\UC02_purchase_order_evaluation\runs\run_01\generated_package\poc; matched files by category: {"entrypoint": ["run_poc.py"], "dependencies": ["requirements.txt"], "configuration": ["config.yaml"], "prompts": ["prompts\\extraction_requirements.md"], "schemas": ["schemas\\output_schema.hash", "schemas\\output_schema.json", "schemas\\output_schema.py", "schemas\\output_schema_requirements.json"]}</t>
  </si>
  <si>
    <t>C:\Users\h02317\Downloads\Wizard evaluation\UC02_purchase_order_evaluation\runs\run_02\generated_package\poc; matched files by category: {"entrypoint": ["run_poc.py"], "dependencies": ["requirements.txt"], "configuration": ["config.yaml"], "prompts": ["prompts\\extraction_requirements.md"], "schemas": ["schemas\\output_schema.hash", "schemas\\output_schema.json", "schemas\\output_schema.py", "schemas\\output_schema_requirements.json"]}</t>
  </si>
  <si>
    <t>EQ3-P07</t>
  </si>
  <si>
    <t>Documentation completeness</t>
  </si>
  <si>
    <t>docs/ contains at least one non-empty use-case-specific document and the PoC contains usage instructions.</t>
  </si>
  <si>
    <t>non-empty documentation files and PoC README</t>
  </si>
  <si>
    <t>Documentation and PoC usage instructions are present.</t>
  </si>
  <si>
    <t>Non-empty documents: ['docs\\developer_guide.md (6675 bytes)', 'docs\\evaluation_plan.md (4996 bytes)', 'docs\\genai_product_canvas.md (3893 bytes)', 'docs\\technical_specification.md (5535 bytes)', 'docs\\user_guide.md (3326 bytes)', 'poc\\README.md (2014 bytes)'].</t>
  </si>
  <si>
    <t>Non-empty documents: ['docs\\developer_guide.md (5789 bytes)', 'docs\\evaluation_plan.md (4704 bytes)', 'docs\\genai_product_canvas.md (3882 bytes)', 'docs\\technical_specification.md (5187 bytes)', 'docs\\user_guide.md (3009 bytes)', 'poc\\README.md (3688 bytes)'].</t>
  </si>
  <si>
    <t>EQ3-P08</t>
  </si>
  <si>
    <t>Requirement-to-component traceability</t>
  </si>
  <si>
    <t>The blueprint traceability data connects the VisionExtractor decision and other selected assets to stated requirements.</t>
  </si>
  <si>
    <t>traceability entries and selected GAIK assets</t>
  </si>
  <si>
    <t>Traceability entries connect selected GAIK assets to requirements.</t>
  </si>
  <si>
    <t>Traceability entries=2; selected assets=['VisionExtractor', 'LLMJudge']; mentioned assets=['VisionExtractor', 'LLMJudge'].</t>
  </si>
  <si>
    <t>EQ4 Execution</t>
  </si>
  <si>
    <t>A run is a successful PoC only when every mandatory EQ4 check for the original, unmodified PDF-to-ERP PoC receives Yes.</t>
  </si>
  <si>
    <t>EQ4-X01</t>
  </si>
  <si>
    <t>PoC setup/build</t>
  </si>
  <si>
    <t>For the original unmodified PoC, the declared setup or import command completes with exit code 0.</t>
  </si>
  <si>
    <t>setup command; exit code; stdout/stderr</t>
  </si>
  <si>
    <t>setup exit code=0</t>
  </si>
  <si>
    <t xml:space="preserve">C:\Users\h02317\Downloads\Wizard evaluation\UC02_purchase_order_evaluation\runs\run_01\poc_execution.json; command=['C:\\Users\\h02317\\AppData\\Local\\Programs\\Python\\Python312\\python.exe', '-m', 'pip', 'install', '-r', 'requirements.txt']; stdout=Requirement already satisfied: pydantic&gt;=2 in c:\users\h02317\appdata\local\programs\python\python312\lib\site-packages (from -r requirements.txt (line 1)) (2.12.5)
Requirement already satisfied: python-dotenv in c:\users\h02317\appdata\local\programs\python\python312\lib\site-packages (from -r requirements.txt (line 2)) (1.2.1)
Requirement already satisfied: pyyaml in c:\users\h02317\appdata\local\programs\python\python312\lib\site-packages (from -r requirements.txt (line 5)) (6.0.3)
Requirement already satisfied: gaik[llm-judge] in c:\users\h02317\appdata\local\programs\python\python312\lib\site-packages (from -r requirements.txt (line 3)) (0.5.16)
Requirement already satisfied: annotated-types&gt;=0.6.0 in c:\users\h02317\appdata\local\programs\python\python312\lib\site-packages (from pyda; stderr=
[notice] A new release of pip is available: 25.0.1 -&gt; 26.1.2
[notice] To update, run: python.exe -m pip install --upgrade pip
</t>
  </si>
  <si>
    <t xml:space="preserve">C:\Users\h02317\Downloads\Wizard evaluation\UC02_purchase_order_evaluation\runs\run_02\poc_execution.json; command=['C:\\Users\\h02317\\AppData\\Local\\Programs\\Python\\Python312\\python.exe', '-m', 'pip', 'install', '-r', 'requirements.txt']; stdout=Requirement already satisfied: pydantic&gt;=2 in c:\users\h02317\appdata\local\programs\python\python312\lib\site-packages (from -r requirements.txt (line 1)) (2.12.5)
Requirement already satisfied: python-dotenv in c:\users\h02317\appdata\local\programs\python\python312\lib\site-packages (from -r requirements.txt (line 2)) (1.2.1)
Requirement already satisfied: pyyaml in c:\users\h02317\appdata\local\programs\python\python312\lib\site-packages (from -r requirements.txt (line 5)) (6.0.3)
Requirement already satisfied: gaik[llm-judge] in c:\users\h02317\appdata\local\programs\python\python312\lib\site-packages (from -r requirements.txt (line 3)) (0.5.16)
Requirement already satisfied: annotated-types&gt;=0.6.0 in c:\users\h02317\appdata\local\programs\python\python312\lib\site-packages (from pyda; stderr=
[notice] A new release of pip is available: 25.0.1 -&gt; 26.1.2
[notice] To update, run: python.exe -m pip install --upgrade pip
</t>
  </si>
  <si>
    <t>EQ4-X02</t>
  </si>
  <si>
    <t>End-to-end execution</t>
  </si>
  <si>
    <t>The original unmodified generated PoC processes purchase_order_complex.pdf and exits with code 0.</t>
  </si>
  <si>
    <t>run command; fixture hash; exit code; stdout/stderr</t>
  </si>
  <si>
    <t>run exit code=0</t>
  </si>
  <si>
    <t xml:space="preserve">C:\Users\h02317\Downloads\Wizard evaluation\UC02_purchase_order_evaluation\runs\run_01\poc_execution.json; fixture={'path': 'C:\\Users\\h02317\\Downloads\\Wizard evaluation\\UC02_purchase_order_evaluation\\fixtures\\purchase_order_complex.pdf', 'sha256': 'e8d0ec6d20e6d3ede18f5d250c1229ce2fbdf0991b5c3d0a4a1d06a662e25fe9', 'size_bytes': 47474}; command=['C:\\Users\\h02317\\AppData\\Local\\Programs\\Python\\Python312\\python.exe', 'run_poc.py']; stdout=Warning: Additional format options not available. Only PDF will be supported.
source_pdf: C:\Users\h02317\Downloads\Wizard evaluation\UC02_purchase_order_evaluation\runs\run_01\generated_package\poc\sample_input\purchase_order_complex.pdf
Extracting PO fields from: C:\Users\h02317\Downloads\Wizard evaluation\UC02_purchase_order_evaluation\runs\run_01\generated_package\poc\sample_input\purchase_order_complex.pdf
Generating schema from requirements...
Analyzing structure type...
[detect_structure_type] tokens=3964
Structure type: parent_with_nested_list
  Reasoning: The requirements specify one top-level purchase order object with document-level header fields plus a repeated list of line items.
Using parent-with-nested-list structure
  Parent fields: Extract the once-per-document header fie; stderr=INFO:httpx:HTTP Request: POST https://haagahelia-poc-gaik.openai.azure.com/openai/deployments/gpt-5.4/chat/completions?api-version=2025-03-01-preview "HTTP/1.1 200 OK"
INFO:httpx:HTTP Request: POST https://haagahelia-poc-gaik.openai.azure.com/openai/deployments/gpt-5.4/chat/completions?api-version=2025-03-01-preview "HTTP/1.1 200 OK"
INFO:httpx:HTTP Request: POST https://haagahelia-poc-gaik.openai.azure.com/openai/deployments/gpt-5.4/chat/completions?api-version=2025-03-01-preview "HTTP/1.1 200 OK"
INFO:httpx:HTTP Request: POST https://haagahelia-poc-gaik.openai.azure.com/openai/responses?api-version=2025-03-01-preview "HTTP/1.1 200 OK"
INFO:httpx:HTTP Request: POST https://haagahelia-poc-gaik.openai.azure.com/openai/deployments/gpt-5.4-mini/chat/completions?api-version=2025-03-01-preview </t>
  </si>
  <si>
    <t xml:space="preserve">C:\Users\h02317\Downloads\Wizard evaluation\UC02_purchase_order_evaluation\runs\run_02\poc_execution.json; fixture={'path': 'C:\\Users\\h02317\\Downloads\\Wizard evaluation\\UC02_purchase_order_evaluation\\fixtures\\purchase_order_complex.pdf', 'sha256': 'e8d0ec6d20e6d3ede18f5d250c1229ce2fbdf0991b5c3d0a4a1d06a662e25fe9', 'size_bytes': 47474}; command=['C:\\Users\\h02317\\AppData\\Local\\Programs\\Python\\Python312\\python.exe', 'run_poc.py']; stdout=Input: C:\Users\h02317\Downloads\Wizard evaluation\UC02_purchase_order_evaluation\runs\run_02\generated_package\poc\sample_input\purchase_order_complex.pdf
Warning: Additional format options not available. Only PDF will be supported.
Using wizard-approved schema (requirements unchanged).
Extracting PO fields with VisionExtractor...
Extraction complete: 1 document(s) processed.
Usage: 8341 tokens  |  Cost: $0.053503
Result written to: C:\Users\h02317\Downloads\Wizard evaluation\UC02_purchase_order_evaluation\runs\run_02\generated_package\poc\output\result.json
{
  "purchase_order_number": {
    "value": "PO-2026-0471",
    "confidence_score": 0.99,
    "confidence_reason": "Value appears explicitly next to the matching field label 'PO Number' in the document header."
  },
  "delivery_date"; stderr=INFO:httpx:HTTP Request: POST https://haagahelia-poc-gaik.openai.azure.com/openai/responses?api-version=2025-03-01-preview "HTTP/1.1 200 OK"
INFO:httpx:HTTP Request: POST https://haagahelia-poc-gaik.openai.azure.com/openai/deployments/gpt-5.4-mini/chat/completions?api-version=2025-03-01-preview "HTTP/1.1 200 OK"
</t>
  </si>
  <si>
    <t>EQ4-X03</t>
  </si>
  <si>
    <t>Machine-readable output</t>
  </si>
  <si>
    <t>The original unmodified PoC generates a new non-empty JSON ERP record that parses successfully.</t>
  </si>
  <si>
    <t>output path; size; JSON parser result</t>
  </si>
  <si>
    <t>[{"path": "output\\result.json", "size_bytes": 9931, "json_parsed": true}, {"path": "output\\validation.json", "size_bytes": 52, "json_parsed": true}, {"path": "output\\result.json", "size_bytes": 9931, "json_parsed": true}, {"path": "output\\validation.json", "size_bytes": 52, "json_parsed": true}]</t>
  </si>
  <si>
    <t>C:\Users\h02317\Downloads\Wizard evaluation\UC02_purchase_order_evaluation\runs\run_01\poc_execution.json; parsed output paths=['C:\\Users\\h02317\\Downloads\\Wizard evaluation\\UC02_purchase_order_evaluation\\runs\\run_01\\generated_package\\poc\\output\\result.json', 'C:\\Users\\h02317\\Downloads\\Wizard evaluation\\UC02_purchase_order_evaluation\\runs\\run_01\\generated_package\\poc\\output\\validation.json', 'C:\\Users\\h02317\\Downloads\\Wizard evaluation\\UC02_purchase_order_evaluation\\runs\\run_01\\generated_package\\poc\\output\\result.json', 'C:\\Users\\h02317\\Downloads\\Wizard evaluation\\UC02_purchase_order_evaluation\\runs\\run_01\\generated_package\\poc\\output\\validation.json']</t>
  </si>
  <si>
    <t>[{"path": "output\\result.json", "size_bytes": 10052, "json_parsed": true}, {"path": "output\\validation.json", "size_bytes": 1124, "json_parsed": true}, {"path": "output\\result.json", "size_bytes": 10052, "json_parsed": true}, {"path": "output\\validation.json", "size_bytes": 1124, "json_parsed": true}]</t>
  </si>
  <si>
    <t>C:\Users\h02317\Downloads\Wizard evaluation\UC02_purchase_order_evaluation\runs\run_02\poc_execution.json; parsed output paths=['C:\\Users\\h02317\\Downloads\\Wizard evaluation\\UC02_purchase_order_evaluation\\runs\\run_02\\generated_package\\poc\\output\\result.json', 'C:\\Users\\h02317\\Downloads\\Wizard evaluation\\UC02_purchase_order_evaluation\\runs\\run_02\\generated_package\\poc\\output\\validation.json', 'C:\\Users\\h02317\\Downloads\\Wizard evaluation\\UC02_purchase_order_evaluation\\runs\\run_02\\generated_package\\poc\\output\\result.json', 'C:\\Users\\h02317\\Downloads\\Wizard evaluation\\UC02_purchase_order_evaluation\\runs\\run_02\\generated_package\\poc\\output\\validation.json']</t>
  </si>
  <si>
    <t>EQ4-X04</t>
  </si>
  <si>
    <t>Fixture acceptance</t>
  </si>
  <si>
    <t>The original unmodified PoC output preserves the expected header facts and all three line items in expected_erp_record.json, including the cross-page item, exact identifiers and units, and no unsupported values.</t>
  </si>
  <si>
    <t>expected ERP record; generated output; semantic field and item comparison</t>
  </si>
  <si>
    <t>[{"purchase_order_number": {"value": "PO-2026-0471", "confidence_score": 0.99, "confidence_reason": "Value appears explicitly next to the PO Number label in the document header."}, "delivery_date": {"value": "10/08/2026", "confidence_score": 0.99, "confidence_reason": "Value appears explicitly next to the Delivery Date label in the document header and already matches the required format."}, "delivery_address": {"value": "Northstar Manufacturing Ltd., Plant 4, 125 Industrial Way, 00180 Helsinki, Finland", "confidence_score": 0.98, "confidence_reason": "Full address block appears explicitly next to the Delivery Address label in the header."}, "vendor_number": {"value": "V-518834", "confidence_score": 0.99, "confidence_reason": "Value appears explicitly next to the Vendor Number label in the document header."}, "line_items": [{"item_number": {"value": "0010", "confidence_score": 0.99, "confidence_reason": "Value appears explicitly in the Item column of the line items table."}, "article_code": {"value": "AX-7041832", "confidence_score": 0.99, "confidence_reason": "Value appears explicitly in the Article code column for item 0010."}, "dimensions": {"value": "10x80mm", "confidence_score": 0.98, "confidence_reason": "Value appears explicitly in the Dimensions / form section for item 0010."}, "material_grade": {"value": "CW506L", "confidence_score": 0.84, "confidence_reason": "Value was extracted from the designation line within the grouped Material / designation / standard entry for item 0010."}, "quantity": {"value": "8.600 kg", "confidence_score": 0.99, "confidence_reason": "Value appears explicitly in the Quantity column for item 0010."}, "product_form": {"value": "Flat", "confidence_score": 0.99, "confidence_reason": "Value appears explicitly as the form for item 0010 and matches an allowed enum."}, "standard_designation": {"value": "EN 1652", "confidence_score": 0.98, "confidence_reason": "Value appears explicitly as the standard line within the grouped Material / designation / standard entry for item 0010."}, "cut_length": {"value": "2000mm", "confidence_score": 0.98, "confidence_reason": "Value appears explicitly in the Cut length / condition column for item 0010."}, "temper_or_condition": {"value": "Cold drawn", "confidence_score": 0.97, "confidence_reason": "Value appears explicitly as the condition entry for item 0010."}, "hardness_hv": {"value": null, "confidence_score": 0.9, "confidence_reason": "No hardness value was found in or near the item 0010 row."}, "min_bend_radius": {"value": null, "confidence_score": 0.9, "confidence_reason": "No minimum bend radius value was found in or near the item 0010 row."}, "delivery_length_note": {"value": null, "confidence_score": 0.93, "confidence_reason": "No delivery length note beyond the cut length was found for item 0010."}, "applicable_standard": {"value": null, "confidence_score": 0.93, "confidence_reason": "No additional standard beyond the stated standard designation was found for item 0010."}, "special_flags": {"value": null, "confidence_score": 0.93, "confidence_reason": "No special instruction or flag was found adjacent to item 0010."}}, {"item_number": {"value": "0020", "confidence_score": 0.99, "confidence_reason": "Value appears explicitly in the Item column of the line items table."}, "article_code": {"value": "BX-7041833", "confidence_score": 0.99, "confidence_reason": "Value appears explicitly in the Article code column for item 0020."}, "dimensions": {"value": "25x8mm", "confidence_score": 0.98, "confidence_reason": "Value appears explicitly in the Dimensions / form section for item 0020."}, "material_grade": {"value": "1.4401", "confidence_score": 0.84, "confidence_reason": "Value was extracted from the designation line within the grouped Material / designation / standard entry for item 0020."}, "quantity": {"value": "2.500 kg", "confidence_score": 0.99, "confidence_reason": "Value appears explicitly in the Quantity column for item 0020."}, "product_form": {"value": "rectangular bar", "confidence_score": 0.99, "confidence_reason": "Value appears explicitly as the form for item 0020 and matches an allowed enum."}, "standard_designation": {"value": "ASTM A276", "confidence_score": 0.98, "confidence_reason": "Value appears explicitly as the standard line within the grouped Material / designation / standard entry for item 0020."}, "cut_length": {"value": "3000mm", "confidence_score": 0.98, "confidence_reason": "Value appears explicitly in the Cut length / condition column for item 0020."}, "temper_or_condition": {"value": "Bright finish", "confidence_score": 0.95, "confidence_reason": "Value appears explicitly as the condition entry for item 0020."}, "hardness_hv": {"value": null, "confidence_score": 0.9, "confidence_reason": "No hardness value was found in or near the item 0020 row."}, "min_bend_radius": {"value": null, "confidence_score": 0.9, "confidence_reason": "No minimum bend radius value was found in or near the item 0020 row."}, "delivery_length_note": {"value": null, "confidence_score": 0.93, "confidence_reason": "No delivery length note beyond the cut length was found for item 0020."}, "applicable_standard": {"value": null, "confidence_score": 0.93, "confidence_reason": "No additional standard beyond the stated standard designation was found for item 0020."}, "special_flags": {"value": null, "confidence_score": 0.93, "confidence_reason": "No special instruction or flag was found adjacent to item 0020."}}, {"item_number": {"value": "0030", "confidence_score": 0.99, "confidence_reason": "Item number is explicit across the split row and continuation marker clearly belongs to the same line item."}, "article_code": {"value": "CX-7041834", "confidence_score": 0.99, "confidence_reason": "Article code appears explicitly on both pages for the continued item 0030."}, "dimensions": {"value": "20mm diameter", "confidence_score": 0.98, "confidence_reason": "Value appears explicitly in the Dimensions / form section for the continued item 0030."}, "material_grade": {"value": "AA6061", "confidence_score": 0.84, "confidence_reason": "Value was extracted from the designation line within the grouped Material / designation / standard entry for item 0030."}, "quantity": {"value": "1.200 kg", "confidence_score": 0.99, "confidence_reason": "Value appears explicitly in the continuation row for item 0030."}, "product_form": {"value": "round", "confidence_score": 0.99, "confidence_reason": "Value appears explicitly as the form for item 0030 and matches an allowed enum."}, "standard_designation": {"value": "ASTM B221", "confidence_score": 0.98, "confidence_reason": "Value appears explicitly as the standard line within the grouped Material / designation / standard entry for item 0030."}, "cut_length": {"value": "3000mm", "confidence_score": 0.98, "confidence_reason": "Value appears explicitly in the continuation row under Cut length / condition for item 0030."}, "temper_or_condition": {"value": "T6", "confidence_score": 0.99, "confidence_reason": "Value appears explicitly as the condition for item 0030 on page 2."}, "hardness_hv": {"value": null, "confidence_score": 0.99, "confidence_reason": "The document explicitly states Hardness HV Not stated for item 0030, so the field is null."}, "min_bend_radius": {"value": null, "confidence_score": 0.99, "confidence_reason": "The document explicitly states Minimum bend radius Not stated for item 0030, so the field is null."}, "delivery_length_note": {"value": "in lengths of 3000mm", "confidence_score": 0.98, "confidence_reason": "A delivery length note appears explicitly below the continued row for item 0030."}, "applicable_standard": {"value": null, "confidence_score": 0.93, "confidence_reason": "No additional standard beyond the stated standard designation was found for item 0030."}, "special_flags": {"value": "chamfered edges", "confidence_score": 0.98, "confidence_reason": "A special flag appears explicitly below the continued row for item 0030."}}]}, {"hallucination_flags": [], "passed": true}, {"purchase_order_number": {"value": "PO-2026-0471", "confidence_score": 0.99, "confidence_reason": "Value appears explicitly next to the PO Number label in the document header."}, "delivery_date": {"value": "10/08/2026", "confidence_score": 0.99, "confidence_reason": "Value appears explicitly next to the Delivery Date label in the document header and already matches the required format."}, "delivery_address": {"value": "Northstar Manufacturing Ltd., Plant 4, 125 Industrial Way, 00180 Helsinki, Finland", "confidence_score": 0.98, "confidence_reason": "Full address block appears explicitly next to the Delivery Address label in the header."}, "vendor_number": {"value": "V-518834", "confidence_score": 0.99, "confidence_reason": "Value appears explicitly next to the Vendor Number label in the document header."}, "line_items": [{"item_number": {"value": "0010", "confidence_score": 0.99, "confidence_reason": "Value appears explicitly in the Item column of the line items table."}, "article_code": {"value": "AX-7041832", "confidence_score": 0.99, "confidence_reason": "Value appears explicitly in the Article code column for item 0010."}, "dimensions": {"value": "10x80mm", "confidence_score": 0.98, "confidence_reason": "Value appears explicitly in the Dimensions / form section for item 0010."}, "material_grade": {"value": "CW506L", "confidence_score": 0.84, "confidence_reason": "Value was extracted from the designation line within the grouped Material / designation / standard entry for item 0010."}, "quantity": {"value": "8.600 kg", "confidence_score": 0.99, "confidence_reason": "Value appears explicitly in the Quantity column for item 0010."}, "product_form": {"value": "Flat", "confidence_score": 0.99, "confidence_reason": "Value appears explicitly as the form for item 0010 and matches an allowed enum."}, "standard_designation": {"value": "EN 1652", "confidence_score": 0.98, "confidence_reason": "Value appears explicitly as the standard line within the grouped Material / designation / standard entry for item 0010."}, "cut_length": {"value": "2000mm", "confidence_score": 0.98, "confidence_reason": "Value appears explicitly in the Cut length / condition column for item 0010."}, "temper_or_condition": {"value": "Cold drawn", "confidence_score": 0.97, "confidence_reason": "Value appears explicitly as the condition entry for item 0010."}, "hardness_hv": {"value": null, "confidence_score": 0.9, "confidence_reason": "No hardness value was found in or near the item 0010 row."}, "min_bend_radius": {"value": null, "confidence_score": 0.9, "confidence_reason": "No minimum bend radius value was found in or near the item 0010 row."}, "delivery_length_note": {"value": null, "confidence_score": 0.93, "confidence_reason": "No delivery length note beyond the cut length was found for item 0010."}, "applicable_standard": {"value": null, "confidence_score": 0.93, "confidence_reason": "No additional standard beyond the stated standard designation was found for item 0010."}, "special_flags": {"value": null, "confidence_score": 0.93, "confidence_reason": "No special instruction or flag was found adjacent to item 0010."}}, {"item_number": {"value": "0020", "confidence_score": 0.99, "confidence_reason": "Value appears explicitly in the Item column of the line items table."}, "article_code": {"value": "BX-7041833", "confidence_score": 0.99, "confidence_reason": "Value appears explicitly in the Article code column for item 0020."}, "dimensions": {"value": "25x8mm", "confidence_score": 0.98, "confidence_reason": "Value appears explicitly in the Dimensions / form section for item 0020."}, "material_grade": {"value": "1.4401", "confidence_score": 0.84, "confidence_reason": "Value was extracted from the designation line within the grouped Material / designation / standard entry for item 0020."}, "quantity": {"value": "2.500 kg", "confidence_score": 0.99, "confidence_reason": "Value appears explicitly in the Quantity column for item 0020."}, "product_form": {"value": "rectangular bar", "confidence_score": 0.99, "confidence_reason": "Value appears explicitly as the form for item 0020 and matches an allowed enum."}, "standard_designation": {"value": "ASTM A276", "confidence_score": 0.98, "confidence_reason": "Value appears explicitly as the standard line within the grouped Material / designation / standard entry for item 0020."}, "cut_length": {"value": "3000mm", "confidence_score": 0.98, "confidence_reason": "Value appears explicitly in the Cut length / condition column for item 0020."}, "temper_or_condition": {"value": "Bright finish", "confidence_score": 0.95, "confidence_reason": "Value appears explicitly as the condition entry for item 0020."}, "hardness_hv": {"value": null, "confidence_score": 0.9, "confidence_reason": "No hardness value was found in or near the item 0020 row."}, "min_bend_radius": {"value": null, "confidence_score": 0.9, "confidence_reason": "No minimum bend radius value was found in or near the item 0020 row."}, "delivery_length_note": {"value": null, "confidence_score": 0.93, "confidence_reason": "No delivery length note beyond the cut length was found for item 0020."}, "applicable_standard": {"value": null, "confidence_score": 0.93, "confidence_reason": "No additional standard beyond the stated standard designation was found for item 0020."}, "special_flags": {"value": null, "confidence_score": 0.93, "confidence_reason": "No special instruction or flag was found adjacent to item 0020."}}, {"item_number": {"value": "0030", "confidence_score": 0.99, "confidence_reason": "Item number is explicit across the split row and continuation marker clearly belongs to the same line item."}, "article_code": {"value": "CX-7041834", "confidence_score": 0.99, "confidence_reason": "Article code appears explicitly on both pages for the continued item 0030."}, "dimensions": {"value": "20mm diameter", "confidence_score": 0.98, "confidence_reason": "Value appears explicitly in the Dimensions / form section for the continued item 0030."}, "material_grade": {"value": "AA6061", "confidence_score": 0.84, "confidence_reason": "Value was extracted from the designation line within the grouped Material / designation / standard entry for item 0030."}, "quantity": {"value": "1.200 kg", "confidence_score": 0.99, "confidence_reason": "Value appears explicitly in the continuation row for item 0030."}, "product_form": {"value": "round", "confidence_score": 0.99, "confidence_reason": "Value appears explicitly as the form for item 0030 and matches an allowed enum."}, "standard_designation": {"value": "ASTM B221", "confidence_score": 0.98, "confidence_reason": "Value appears explicitly as the standard line within the grouped Material / designation / standard entry for item 0030."}, "cut_length": {"value": "3000mm", "confidence_score": 0.98, "confidence_reason": "Value appears explicitly in the continuation row under Cut length / condition for item 0030."}, "temper_or_condition": {"value": "T6", "confidence_score": 0.99, "confidence_reason": "Value appears explicitly as the condition for item 0030 on page 2."}, "hardness_hv": {"value": null, "confidence_score": 0.99, "confidence_reason": "The document explicitly states Hardness HV Not stated for item 0030, so the field is null."}, "min_bend_radius": {"value": null, "confidence_score": 0.99, "confidence_reason": "The document explicitly states Minimum bend radius Not stated for item 0030, so the field is null."}, "delivery_length_note": {"value": "in lengths of 3000mm", "confidence_score": 0.98, "confidence_reason": "A delivery length note appears explicitly below the continued row for item 0030."}, "applicable_standard": {"value": null, "confidence_score": 0.93, "confidence_reason": "No additional standard beyond the stated standard designation was found for item 0030."}, "special_flags": {"value": "chamfered edges", "confidence_score": 0.98, "confidence_reason": "A special flag appears explicitly below the continued row for item 0030."}}]}, {"hallucination_flags": [], "passed": true}]</t>
  </si>
  <si>
    <t>Oracle fixture: C:\Users\h02317\Downloads\Wizard evaluation\UC02_purchase_order_evaluation\fixtures\expected_erp_record.json={"purchase_order_number": "PO-2026-0471", "delivery_date": "10/08/2026", "delivery_address": "Northstar Manufacturing Ltd., Plant 4, 125 Industrial Way, 00180 Helsinki, Finland", "vendor_number": "V-518834", "line_items": [{"item_number": "0010", "article_code": "AX-7041832", "dimensions": "10x80mm", "product_form": "Flat", "material_grade": "C260 Brass", "standard_designation": "CW506L", "cut_length": "2000mm", "temper_or_condition": "Cold drawn", "hardness_hv": null, "min_bend_radius": null, "delivery_length_note": null, "applicable_standard": "EN 1652", "special_flags": null, "quantity": "8.600 kg"}, {"item_number": "0020", "article_code": "BX-7041833", "dimensions": "25x8mm", "product_form": "rectangular bar", "material_grade": "316 Stainless", "standard_designation": "1.4401", "cut_length": "3000mm", "temper_or_condition": "Bright finish", "hardness_hv": null, "min_bend_radius": null, "delivery_length_note": null, "applicable_standard": "ASTM A276", "special_flags": null, "quantity": "2.500 kg"}, {"item_number": "0030", "article_code": "CX-7041834", "dimensions": "20mm diameter", "product_form": "round", "material_grade": "6061 Aluminum", "standard_designation": "AA6061", "cut_length": "3000mm", "temper_or_condition": "T6", "hardness_hv": null, "min_bend_radius": null, "delivery_length_note": "in lengths of 3000mm", "applicable_standard": "ASTM B221", "special_flags": "chamfered edges", "quantity": "1.200 kg"}]}; generated output evidence: C:\Users\h02317\Downloads\Wizard evaluation\UC02_purchase_order_evaluation\runs\run_01\poc_execution.json outputs.</t>
  </si>
  <si>
    <t>[{"purchase_order_number": {"value": "PO-2026-0471", "confidence_score": 0.99, "confidence_reason": "Value appears explicitly next to the matching field label 'PO Number' in the document header."}, "delivery_date": {"value": "10/08/2026", "confidence_score": 0.98, "confidence_reason": "Value appears explicitly next to the matching field label 'Delivery Date' in the header and already matches the required format."}, "delivery_address": {"value": "Northstar Manufacturing Ltd., Plant 4, 125 Industrial Way, 00180 Helsinki, Finland", "confidence_score": 0.98, "confidence_reason": "Full ship-to address appears explicitly next to the matching field label 'Delivery Address' in the header."}, "vendor_number": {"value": "V-518834", "confidence_score": 0.99, "confidence_reason": "Value appears explicitly next to the matching field label 'Vendor Number' in the header."}, "line_items": [{"item_number": {"value": "0010", "confidence_score": 0.99, "confidence_reason": "Item number appears clearly in the first column of the line-item table."}, "article_code": {"value": "AX-7041832", "confidence_score": 0.99, "confidence_reason": "Article code appears explicitly in the row under the article code field."}, "dimensions": {"value": "10x80mm", "confidence_score": 0.98, "confidence_reason": "Dimension string appears explicitly in the dimensions/form section of the row."}, "material_grade": {"value": "CW506L", "confidence_score": 0.88, "confidence_reason": "The row lists material description, designation, and standard; 'CW506L' is the explicit grade/designation line."}, "quantity": {"value": "8.600 kg", "confidence_score": 0.99, "confidence_reason": "Quantity appears explicitly in the quantity column with its unit preserved."}, "product_form": {"value": "Flat", "confidence_score": 0.99, "confidence_reason": "Product form is explicitly stated as 'Flat' in the row."}, "standard_designation": {"value": "EN 1652", "confidence_score": 0.98, "confidence_reason": "Standard reference appears explicitly in the material/designation/standard section of the row."}, "cut_length": {"value": "2000mm", "confidence_score": 0.97, "confidence_reason": "Cut length appears explicitly in the cut length / condition column."}, "temper_or_condition": {"value": "Cold drawn", "confidence_score": 0.97, "confidence_reason": "Condition appears explicitly in the cut length / condition column after the cut length."}, "hardness_hv": {"value": null, "confidence_score": 0.9, "confidence_reason": "No hardness value was found in this line item or nearby notes."}, "min_bend_radius": {"value": null, "confidence_score": 0.9, "confidence_reason": "No minimum bend radius was found in this line item or nearby notes."}, "delivery_length_note": {"value": null, "confidence_score": 0.92, "confidence_reason": "No delivery-length note was found for this specific line item."}, "applicable_standard": {"value": null, "confidence_score": 0.9, "confidence_reason": "No additional applicable standard beyond the main standard designation was found for this row."}, "special_flags": {"value": null, "confidence_score": 0.9, "confidence_reason": "No special requirement or flag was stated for this specific line item."}}, {"item_number": {"value": "0020", "confidence_score": 0.99, "confidence_reason": "Item number appears clearly in the first column of the line-item table."}, "article_code": {"value": "BX-7041833", "confidence_score": 0.99, "confidence_reason": "Article code appears explicitly in the row under the article code field."}, "dimensions": {"value": "25x8mm", "confidence_score": 0.98, "confidence_reason": "Dimension string appears explicitly in the dimensions/form section of the row."}, "material_grade": {"value": "1.4401", "confidence_score": 0.96, "confidence_reason": "The designation line '1.4401' is explicitly stated in the material/designation/standard section."}, "quantity": {"value": "2.500 kg", "confidence_score": 0.99, "confidence_reason": "Quantity appears explicitly in the quantity column with its unit preserved."}, "product_form": {"value": "rectangular bar", "confidence_score": 0.99, "confidence_reason": "Product form is explicitly stated as 'rectangular bar' in the row."}, "standard_designation": {"value": "ASTM A276", "confidence_score": 0.98, "confidence_reason": "Standard reference appears explicitly in the material/designation/standard section of the row."}, "cut_length": {"value": "3000mm", "confidence_score": 0.97, "confidence_reason": "Cut length appears explicitly in the cut length / condition column."}, "temper_or_condition": {"value": "Bright finish", "confidence_score": 0.97, "confidence_reason": "Condition appears explicitly in the cut length / condition column after the cut length."}, "hardness_hv": {"value": null, "confidence_score": 0.9, "confidence_reason": "No hardness value was found in this line item or nearby notes."}, "min_bend_radius": {"value": null, "confidence_score": 0.9, "confidence_reason": "No minimum bend radius was found in this line item or nearby notes."}, "delivery_length_note": {"value": null, "confidence_score": 0.92, "confidence_reason": "No delivery-length note was found for this specific line item."}, "applicable_standard": {"value": null, "confidence_score": 0.9, "confidence_reason": "No additional applicable standard beyond the main standard designation was found for this row."}, "special_flags": {"value": null, "confidence_score": 0.9, "confidence_reason": "No special requirement or flag was stated for this specific line item."}}, {"item_number": {"value": "0030", "confidence_score": 0.99, "confidence_reason": "Item number appears clearly and the continuation is explicitly marked across the page break."}, "article_code": {"value": "CX-7041834", "confidence_score": 0.99, "confidence_reason": "Article code appears explicitly in the continued row and matches the page-1 partial row."}, "dimensions": {"value": "20mm diameter", "confidence_score": 0.98, "confidence_reason": "Dimension string appears explicitly in the dimensions/form section of the continued row."}, "material_grade": {"value": "AA6061", "confidence_score": 0.95, "confidence_reason": "The designation line 'AA6061' is explicitly stated in the material/designation/standard section across the continued row."}, "quantity": {"value": "1.200 kg", "confidence_score": 0.98, "confidence_reason": "Quantity appears explicitly in the continued row with its unit preserved."}, "product_form": {"value": "round", "confidence_score": 0.99, "confidence_reason": "Product form is explicitly stated as 'round' in the continued row."}, "standard_designation": {"value": "ASTM B221", "confidence_score": 0.98, "confidence_reason": "Standard reference appears explicitly in the material/designation/standard section of the continued row."}, "cut_length": {"value": "3000mm", "confidence_score": 0.97, "confidence_reason": "Cut length appears explicitly in the continued row under the cut length / condition column."}, "temper_or_condition": {"value": "T6", "confidence_score": 0.98, "confidence_reason": "Condition appears explicitly in the continued row as 'T6'."}, "hardness_hv": {"value": null, "confidence_score": 0.98, "confidence_reason": "The document explicitly states 'Hardness HV Not stated' for the continued item, so no numeric value is present."}, "min_bend_radius": {"value": null, "confidence_score": 0.98, "confidence_reason": "The document explicitly states 'Minimum bend radius Not stated' for the continued item, so no numeric value is present."}, "delivery_length_note": {"value": "in lengths of 3000mm", "confidence_score": 0.95, "confidence_reason": "A note immediately following the continued item explicitly states 'Delivery length note in lengths of 3000mm'."}, "applicable_standard": {"value": null, "confidence_score": 0.9, "confidence_reason": "No additional applicable standard beyond the main standard designation was found for this row."}, "special_flags": {"value": "chamfered edges", "confidence_score": 0.95, "confidence_reason": "A note immediately following the continued item explicitly states 'Special flags chamfered edges'."}}]}, {"hallucination_flags": [{"field": "line_items[0].applicable_standard", "value": "null", "severity": "wrong", "reason": "Source gives only EN 1652 as the standard; no extra applicable standard is stated."}, {"field": "line_items[0].special_flags", "value": "null", "severity": "wrong", "reason": "No special flags are stated for item 0010 anywhere in the source."}, {"field": "line_items[1].applicable_standard", "value": "null", "severity": "wrong", "reason": "Source gives only ASTM A276 as the standard; no extra applicable standard is stated."}, {"field": "line_items[1].special_flags", "value": "null", "severity": "wrong", "reason": "No special flags are stated for item 0020 anywhere in the source."}, {"field": "line_items[2].applicable_standard", "value": "null", "severity": "wrong", "reason": "Source gives only ASTM B221 as the standard; no extra applicable standard is stated."}], "passed": false}, {"purchase_order_number": {"value": "PO-2026-0471", "confidence_score": 0.99, "confidence_reason": "Value appears explicitly next to the matching field label 'PO Number' in the document header."}, "delivery_date": {"value": "10/08/2026", "confidence_score": 0.98, "confidence_reason": "Value appears explicitly next to the matching field label 'Delivery Date' in the header and already matches the required format."}, "delivery_address": {"value": "Northstar Manufacturing Ltd., Plant 4, 125 Industrial Way, 00180 Helsinki, Finland", "confidence_score": 0.98, "confidence_reason": "Full ship-to address appears explicitly next to the matching field label 'Delivery Address' in the header."}, "vendor_number": {"value": "V-518834", "confidence_score": 0.99, "confidence_reason": "Value appears explicitly next to the matching field label 'Vendor Number' in the header."}, "line_items": [{"item_number": {"value": "0010", "confidence_score": 0.99, "confidence_reason": "Item number appears clearly in the first column of the line-item table."}, "article_code": {"value": "AX-7041832", "confidence_score": 0.99, "confidence_reason": "Article code appears explicitly in the row under the article code field."}, "dimensions": {"value": "10x80mm", "confidence_score": 0.98, "confidence_reason": "Dimension string appears explicitly in the dimensions/form section of the row."}, "material_grade": {"value": "CW506L", "confidence_score": 0.88, "confidence_reason": "The row lists material description, designation, and standard; 'CW506L' is the explicit grade/designation line."}, "quantity": {"value": "8.600 kg", "confidence_score": 0.99, "confidence_reason": "Quantity appears explicitly in the quantity column with its unit preserved."}, "product_form": {"value": "Flat", "confidence_score": 0.99, "confidence_reason": "Product form is explicitly stated as 'Flat' in the row."}, "standard_designation": {"value": "EN 1652", "confidence_score": 0.98, "confidence_reason": "Standard reference appears explicitly in the material/designation/standard section of the row."}, "cut_length": {"value": "2000mm", "confidence_score": 0.97, "confidence_reason": "Cut length appears explicitly in the cut length / condition column."}, "temper_or_condition": {"value": "Cold drawn", "confidence_score": 0.97, "confidence_reason": "Condition appears explicitly in the cut length / condition column after the cut length."}, "hardness_hv": {"value": null, "confidence_score": 0.9, "confidence_reason": "No hardness value was found in this line item or nearby notes."}, "min_bend_radius": {"value": null, "confidence_score": 0.9, "confidence_reason": "No minimum bend radius was found in this line item or nearby notes."}, "delivery_length_note": {"value": null, "confidence_score": 0.92, "confidence_reason": "No delivery-length note was found for this specific line item."}, "applicable_standard": {"value": null, "confidence_score": 0.9, "confidence_reason": "No additional applicable standard beyond the main standard designation was found for this row."}, "special_flags": {"value": null, "confidence_score": 0.9, "confidence_reason": "No special requirement or flag was stated for this specific line item."}}, {"item_number": {"value": "0020", "confidence_score": 0.99, "confidence_reason": "Item number appears clearly in the first column of the line-item table."}, "article_code": {"value": "BX-7041833", "confidence_score": 0.99, "confidence_reason": "Article code appears explicitly in the row under the article code field."}, "dimensions": {"value": "25x8mm", "confidence_score": 0.98, "confidence_reason": "Dimension string appears explicitly in the dimensions/form section of the row."}, "material_grade": {"value": "1.4401", "confidence_score": 0.96, "confidence_reason": "The designation line '1.4401' is explicitly stated in the material/designation/standard section."}, "quantity": {"value": "2.500 kg", "confidence_score": 0.99, "confidence_reason": "Quantity appears explicitly in the quantity column with its unit preserved."}, "product_form": {"value": "rectangular bar", "confidence_score": 0.99, "confidence_reason": "Product form is explicitly stated as 'rectangular bar' in the row."}, "standard_designation": {"value": "ASTM A276", "confidence_score": 0.98, "confidence_reason": "Standard reference appears explicitly in the material/designation/standard section of the row."}, "cut_length": {"value": "3000mm", "confidence_score": 0.97, "confidence_reason": "Cut length appears explicitly in the cut length / condition column."}, "temper_or_condition": {"value": "Bright finish", "confidence_score": 0.97, "confidence_reason": "Condition appears explicitly in the cut length / condition column after the cut length."}, "hardness_hv": {"value": null, "confidence_score": 0.9, "confidence_reason": "No hardness value was found in this line item or nearby notes."}, "min_bend_radius": {"value": null, "confidence_score": 0.9, "confidence_reason": "No minimum bend radius was found in this line item or nearby notes."}, "delivery_length_note": {"value": null, "confidence_score": 0.92, "confidence_reason": "No delivery-length note was found for this specific line item."}, "applicable_standard": {"value": null, "confidence_score": 0.9, "confidence_reason": "No additional applicable standard beyond the main standard designation was found for this row."}, "special_flags": {"value": null, "confidence_score": 0.9, "confidence_reason": "No special requirement or flag was stated for this specific line item."}}, {"item_number": {"value": "0030", "confidence_score": 0.99, "confidence_reason": "Item number appears clearly and the continuation is explicitly marked across the page break."}, "article_code": {"value": "CX-7041834", "confidence_score": 0.99, "confidence_reason": "Article code appears explicitly in the continued row and matches the page-1 partial row."}, "dimensions": {"value": "20mm diameter", "confidence_score": 0.98, "confidence_reason": "Dimension string appears explicitly in the dimensions/form section of the continued row."}, "material_grade": {"value": "AA6061", "confidence_score": 0.95, "confidence_reason": "The designation line 'AA6061' is explicitly stated in the material/designation/standard section across the continued row."}, "quantity": {"value": "1.200 kg", "confidence_score": 0.98, "confidence_reason": "Quantity appears explicitly in the continued row with its unit preserved."}, "product_form": {"value": "round", "confidence_score": 0.99, "confidence_reason": "Product form is explicitly stated as 'round' in the continued row."}, "standard_designation": {"value": "ASTM B221", "confidence_score": 0.98, "confidence_reason": "Standard reference appears explicitly in the material/designation/standard section of the continued row."}, "cut_length": {"value": "3000mm", "confidence_score": 0.97, "confidence_reason": "Cut length appears explicitly in the continued row under the cut length / condition column."}, "temper_or_condition": {"value": "T6", "confidence_score": 0.98, "confidence_reason": "Condition appears explicitly in the continued row as 'T6'."}, "hardness_hv": {"value": null, "confidence_score": 0.98, "confidence_reason": "The document explicitly states 'Hardness HV Not stated' for the continued item, so no numeric value is present."}, "min_bend_radius": {"value": null, "confidence_score": 0.98, "confidence_reason": "The document explicitly states 'Minimum bend radius Not stated' for the continued item, so no numeric value is present."}, "delivery_length_note": {"value": "in lengths of 3000mm", "confidence_score": 0.95, "confidence_reason": "A note immediately following the continued item explicitly states 'Delivery length note in lengths of 3000mm'."}, "applicable_standard": {"value": null, "confidence_score": 0.9, "confidence_reason": "No additional applicable standard beyond the main standard designation was found for this row."}, "special_flags": {"value": "chamfered edges", "confidence_score": 0.95, "confidence_reason": "A note immediately following the continued item explicitly states 'Special flags chamfered edges'."}}]}, {"hallucination_flags": [{"field": "line_items[0].applicable_standard", "value": "null", "severity": "wrong", "reason": "Source gives only EN 1652 as the standard; no extra applicable standard is stated."}, {"field": "line_items[0].special_flags", "value": "null", "severity": "wrong", "reason": "No special flags are stated for item 0010 anywhere in the source."}, {"field": "line_items[1].applicable_standard", "value": "null", "severity": "wrong", "reason": "Source gives only ASTM A276 as the standard; no extra applicable standard is stated."}, {"field": "line_items[1].special_flags", "value": "null", "severity": "wrong", "reason": "No special flags are stated for item 0020 anywhere in the source."}, {"field": "line_items[2].applicable_standard", "value": "null", "severity": "wrong", "reason": "Source gives only ASTM B221 as the standard; no extra applicable standard is stated."}], "passed": false}]</t>
  </si>
  <si>
    <t>Oracle fixture: C:\Users\h02317\Downloads\Wizard evaluation\UC02_purchase_order_evaluation\fixtures\expected_erp_record.json={"purchase_order_number": "PO-2026-0471", "delivery_date": "10/08/2026", "delivery_address": "Northstar Manufacturing Ltd., Plant 4, 125 Industrial Way, 00180 Helsinki, Finland", "vendor_number": "V-518834", "line_items": [{"item_number": "0010", "article_code": "AX-7041832", "dimensions": "10x80mm", "product_form": "Flat", "material_grade": "C260 Brass", "standard_designation": "CW506L", "cut_length": "2000mm", "temper_or_condition": "Cold drawn", "hardness_hv": null, "min_bend_radius": null, "delivery_length_note": null, "applicable_standard": "EN 1652", "special_flags": null, "quantity": "8.600 kg"}, {"item_number": "0020", "article_code": "BX-7041833", "dimensions": "25x8mm", "product_form": "rectangular bar", "material_grade": "316 Stainless", "standard_designation": "1.4401", "cut_length": "3000mm", "temper_or_condition": "Bright finish", "hardness_hv": null, "min_bend_radius": null, "delivery_length_note": null, "applicable_standard": "ASTM A276", "special_flags": null, "quantity": "2.500 kg"}, {"item_number": "0030", "article_code": "CX-7041834", "dimensions": "20mm diameter", "product_form": "round", "material_grade": "6061 Aluminum", "standard_designation": "AA6061", "cut_length": "3000mm", "temper_or_condition": "T6", "hardness_hv": null, "min_bend_radius": null, "delivery_length_note": "in lengths of 3000mm", "applicable_standard": "ASTM B221", "special_flags": "chamfered edges", "quantity": "1.200 kg"}]}; generated output evidence: C:\Users\h02317\Downloads\Wizard evaluation\UC02_purchase_order_evaluation\runs\run_02\poc_execution.json outputs.</t>
  </si>
  <si>
    <t>PoC recovery diagnostic</t>
  </si>
  <si>
    <t>Unscored diagnostic. EQ4 remains based on the original unmodified PoC; recovery permits at most three wizard refinement attempts.</t>
  </si>
  <si>
    <t>Run 1 value</t>
  </si>
  <si>
    <t>Run 2 value</t>
  </si>
  <si>
    <t>Protocol value</t>
  </si>
  <si>
    <t>Original execution successful</t>
  </si>
  <si>
    <t>C:\Users\h02317\Downloads\Wizard evaluation\UC02_purchase_order_evaluation\runs\run_01\poc_recovery.json; baseline=C:\Users\h02317\Downloads\Wizard evaluation\UC02_purchase_order_evaluation\runs\run_01\poc_execution.json; attempts=[]</t>
  </si>
  <si>
    <t>C:\Users\h02317\Downloads\Wizard evaluation\UC02_purchase_order_evaluation\runs\run_02\poc_recovery.json; baseline=C:\Users\h02317\Downloads\Wizard evaluation\UC02_purchase_order_evaluation\runs\run_02\poc_execution.json; attempts=[]</t>
  </si>
  <si>
    <t>Yes or No</t>
  </si>
  <si>
    <t>The original execution remains the EQ4 evidence source.</t>
  </si>
  <si>
    <t>0</t>
  </si>
  <si>
    <t>0 means original success; N/A means never successful after three refinements.</t>
  </si>
  <si>
    <t>Final execution successful</t>
  </si>
  <si>
    <t>Yes, No, or blank</t>
  </si>
  <si>
    <t>Shows whether recovery ultimately produced an executable PoC.</t>
  </si>
  <si>
    <t>successful_original</t>
  </si>
  <si>
    <t>Protocol-controlled status</t>
  </si>
  <si>
    <t>Stop after first success or after refinement attempt 3.</t>
  </si>
  <si>
    <t>Provider= Azure OpenAI, model=gpt-5.4, temperature=0.0, reasoning effort=medium.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</si>
</sst>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6"/>
      <color rgb="FFFFFFFF"/>
      <name val="Carlito"/>
    </font>
    <font>
      <i/>
      <sz val="10"/>
      <color rgb="FF595959"/>
      <name val="Carlito"/>
    </font>
    <font>
      <b/>
      <sz val="11"/>
      <color rgb="FF17365D"/>
      <name val="Carlito"/>
    </font>
  </fonts>
  <fills count="7">
    <fill>
      <patternFill patternType="none"/>
    </fill>
    <fill>
      <patternFill patternType="gray125"/>
    </fill>
    <fill>
      <patternFill patternType="solid">
        <fgColor rgb="FF17365D"/>
      </patternFill>
    </fill>
    <fill>
      <patternFill patternType="solid">
        <fgColor rgb="FFEEF5FB"/>
      </patternFill>
    </fill>
    <fill>
      <patternFill patternType="solid">
        <fgColor rgb="FFD9EAF7"/>
      </patternFill>
    </fill>
    <fill>
      <patternFill patternType="solid">
        <fgColor rgb="FFE7E6E6"/>
      </patternFill>
    </fill>
    <fill>
      <patternFill patternType="solid">
        <fgColor rgb="FFFFF2CC"/>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12">
    <xf numFmtId="0" fontId="0" fillId="0" borderId="0" xfId="0"/>
    <xf numFmtId="0" fontId="3" fillId="4" borderId="1" xfId="0" applyFont="1" applyFill="1" applyBorder="1" applyAlignment="1">
      <alignment vertical="center" wrapText="1"/>
    </xf>
    <xf numFmtId="0" fontId="0" fillId="0" borderId="2" xfId="0" applyBorder="1" applyAlignment="1">
      <alignment wrapText="1"/>
    </xf>
    <xf numFmtId="0" fontId="0" fillId="0" borderId="2" xfId="0" applyBorder="1" applyAlignment="1">
      <alignment vertical="top" wrapText="1"/>
    </xf>
    <xf numFmtId="0" fontId="0" fillId="5" borderId="2" xfId="0" applyFill="1" applyBorder="1" applyAlignment="1">
      <alignment vertical="top" wrapText="1"/>
    </xf>
    <xf numFmtId="0" fontId="3" fillId="4" borderId="2" xfId="0" applyFont="1" applyFill="1" applyBorder="1" applyAlignment="1">
      <alignment vertical="top" wrapText="1"/>
    </xf>
    <xf numFmtId="0" fontId="0" fillId="0" borderId="1" xfId="0" applyBorder="1" applyAlignment="1">
      <alignment vertical="center" wrapText="1"/>
    </xf>
    <xf numFmtId="9" fontId="0" fillId="3" borderId="1" xfId="0" applyNumberFormat="1" applyFill="1" applyBorder="1" applyAlignment="1">
      <alignment vertical="center" wrapText="1"/>
    </xf>
    <xf numFmtId="0" fontId="3" fillId="6" borderId="2" xfId="0" applyFont="1" applyFill="1" applyBorder="1" applyAlignment="1">
      <alignment wrapText="1"/>
    </xf>
    <xf numFmtId="0" fontId="2" fillId="3" borderId="0" xfId="0" applyFont="1" applyFill="1" applyAlignment="1">
      <alignment vertical="center" wrapText="1"/>
    </xf>
    <xf numFmtId="0" fontId="0" fillId="0" borderId="0" xfId="0"/>
    <xf numFmtId="0" fontId="1"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showGridLines="0" workbookViewId="0"/>
  </sheetViews>
  <sheetFormatPr defaultRowHeight="14.25"/>
  <cols>
    <col min="1" max="1" width="18" customWidth="1"/>
    <col min="2" max="2" width="110" customWidth="1"/>
  </cols>
  <sheetData>
    <row r="1" spans="1:14" ht="27.95" customHeight="1">
      <c r="A1" s="11" t="s">
        <v>306</v>
      </c>
      <c r="B1" s="10"/>
      <c r="C1" s="10"/>
      <c r="D1" s="10"/>
      <c r="E1" s="10"/>
      <c r="F1" s="10"/>
      <c r="G1" s="10"/>
      <c r="H1" s="10"/>
      <c r="I1" s="10"/>
      <c r="J1" s="10"/>
      <c r="K1" s="10"/>
      <c r="L1" s="10"/>
      <c r="M1" s="10"/>
      <c r="N1" s="10"/>
    </row>
    <row r="2" spans="1:14" ht="39.950000000000003" customHeight="1">
      <c r="A2" s="9" t="s">
        <v>307</v>
      </c>
      <c r="B2" s="10"/>
      <c r="C2" s="10"/>
      <c r="D2" s="10"/>
      <c r="E2" s="10"/>
      <c r="F2" s="10"/>
      <c r="G2" s="10"/>
      <c r="H2" s="10"/>
      <c r="I2" s="10"/>
      <c r="J2" s="10"/>
      <c r="K2" s="10"/>
      <c r="L2" s="10"/>
      <c r="M2" s="10"/>
      <c r="N2" s="10"/>
    </row>
    <row r="4" spans="1:14" ht="15" customHeight="1">
      <c r="A4" s="5" t="s">
        <v>308</v>
      </c>
      <c r="B4" s="5" t="s">
        <v>309</v>
      </c>
    </row>
    <row r="5" spans="1:14" ht="26.45" customHeight="1">
      <c r="A5" s="3" t="s">
        <v>310</v>
      </c>
      <c r="B5" s="3" t="s">
        <v>311</v>
      </c>
    </row>
    <row r="6" spans="1:14" ht="15" customHeight="1">
      <c r="A6" s="3" t="s">
        <v>312</v>
      </c>
      <c r="B6" s="3" t="s">
        <v>313</v>
      </c>
    </row>
    <row r="7" spans="1:14" ht="15" customHeight="1">
      <c r="A7" s="3" t="s">
        <v>314</v>
      </c>
      <c r="B7" s="3" t="s">
        <v>315</v>
      </c>
    </row>
    <row r="8" spans="1:14" ht="15" customHeight="1">
      <c r="A8" s="3" t="s">
        <v>316</v>
      </c>
      <c r="B8" s="3" t="s">
        <v>317</v>
      </c>
    </row>
    <row r="9" spans="1:14" ht="15" customHeight="1">
      <c r="A9" s="3" t="s">
        <v>318</v>
      </c>
      <c r="B9" s="3" t="s">
        <v>319</v>
      </c>
    </row>
    <row r="10" spans="1:14" ht="15" customHeight="1">
      <c r="A10" s="3" t="s">
        <v>320</v>
      </c>
      <c r="B10" s="3" t="s">
        <v>321</v>
      </c>
    </row>
    <row r="11" spans="1:14" ht="15" customHeight="1">
      <c r="A11" s="3" t="s">
        <v>322</v>
      </c>
      <c r="B11" s="3" t="s">
        <v>323</v>
      </c>
    </row>
    <row r="12" spans="1:14" ht="15" customHeight="1">
      <c r="A12" s="3" t="s">
        <v>324</v>
      </c>
      <c r="B12" s="3" t="s">
        <v>325</v>
      </c>
    </row>
    <row r="13" spans="1:14" ht="15" customHeight="1">
      <c r="A13" s="3" t="s">
        <v>326</v>
      </c>
      <c r="B13" s="3" t="s">
        <v>327</v>
      </c>
    </row>
    <row r="14" spans="1:14" ht="15" customHeight="1">
      <c r="A14" s="3" t="s">
        <v>328</v>
      </c>
      <c r="B14" s="3" t="s">
        <v>329</v>
      </c>
    </row>
    <row r="15" spans="1:14" ht="15" customHeight="1">
      <c r="A15" s="3" t="s">
        <v>330</v>
      </c>
      <c r="B15" s="3" t="s">
        <v>331</v>
      </c>
    </row>
    <row r="16" spans="1:14" ht="15" customHeight="1">
      <c r="A16" s="3" t="s">
        <v>332</v>
      </c>
      <c r="B16" s="3" t="s">
        <v>333</v>
      </c>
    </row>
    <row r="17" spans="1:2" ht="15" customHeight="1">
      <c r="A17" s="3" t="s">
        <v>334</v>
      </c>
      <c r="B17" s="3" t="s">
        <v>335</v>
      </c>
    </row>
    <row r="18" spans="1:2" ht="15" customHeight="1">
      <c r="A18" s="3" t="s">
        <v>336</v>
      </c>
      <c r="B18" s="3" t="s">
        <v>337</v>
      </c>
    </row>
    <row r="19" spans="1:2" ht="15" customHeight="1">
      <c r="A19" s="3" t="s">
        <v>338</v>
      </c>
      <c r="B19" s="3" t="s">
        <v>339</v>
      </c>
    </row>
  </sheetData>
  <mergeCells count="2">
    <mergeCell ref="A2:N2"/>
    <mergeCell ref="A1:N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showGridLines="0" workbookViewId="0">
      <selection activeCell="D24" sqref="D24"/>
    </sheetView>
  </sheetViews>
  <sheetFormatPr defaultRowHeight="14.25"/>
  <cols>
    <col min="1" max="1" width="12.875" customWidth="1"/>
    <col min="2" max="2" width="28" customWidth="1"/>
    <col min="3" max="4" width="14" customWidth="1"/>
    <col min="5" max="7" width="17" customWidth="1"/>
    <col min="8" max="8" width="52" customWidth="1"/>
  </cols>
  <sheetData>
    <row r="1" spans="1:14" ht="27.95" customHeight="1">
      <c r="A1" s="11" t="s">
        <v>340</v>
      </c>
      <c r="B1" s="10"/>
      <c r="C1" s="10"/>
      <c r="D1" s="10"/>
      <c r="E1" s="10"/>
      <c r="F1" s="10"/>
      <c r="G1" s="10"/>
      <c r="H1" s="10"/>
      <c r="I1" s="10"/>
      <c r="J1" s="10"/>
      <c r="K1" s="10"/>
      <c r="L1" s="10"/>
      <c r="M1" s="10"/>
      <c r="N1" s="10"/>
    </row>
    <row r="2" spans="1:14" ht="39.950000000000003" customHeight="1">
      <c r="A2" s="9" t="s">
        <v>341</v>
      </c>
      <c r="B2" s="10"/>
      <c r="C2" s="10"/>
      <c r="D2" s="10"/>
      <c r="E2" s="10"/>
      <c r="F2" s="10"/>
      <c r="G2" s="10"/>
      <c r="H2" s="10"/>
      <c r="I2" s="10"/>
      <c r="J2" s="10"/>
      <c r="K2" s="10"/>
      <c r="L2" s="10"/>
      <c r="M2" s="10"/>
      <c r="N2" s="10"/>
    </row>
    <row r="4" spans="1:14" ht="15" customHeight="1">
      <c r="A4" s="1" t="s">
        <v>342</v>
      </c>
      <c r="B4" s="1" t="s">
        <v>343</v>
      </c>
      <c r="C4" s="1" t="s">
        <v>344</v>
      </c>
      <c r="D4" s="1" t="s">
        <v>345</v>
      </c>
      <c r="E4" s="1" t="s">
        <v>346</v>
      </c>
      <c r="F4" s="1" t="s">
        <v>347</v>
      </c>
      <c r="G4" s="1" t="s">
        <v>348</v>
      </c>
      <c r="H4" s="1" t="s">
        <v>349</v>
      </c>
    </row>
    <row r="5" spans="1:14" ht="39.75" customHeight="1">
      <c r="A5" s="6" t="s">
        <v>336</v>
      </c>
      <c r="B5" s="6" t="s">
        <v>350</v>
      </c>
      <c r="C5" s="7">
        <f>IF(COUNTIF('EQ1 Requirements'!I4:I45,"Yes")+COUNTIF('EQ1 Requirements'!I4:I45,"No")=42,COUNTIF('EQ1 Requirements'!I4:I45,"Yes")/42,"")</f>
        <v>0.97619047619047616</v>
      </c>
      <c r="D5" s="7">
        <f>IF(COUNTIF('EQ1 Requirements'!M4:M45,"Yes")+COUNTIF('EQ1 Requirements'!M4:M45,"No")=42,COUNTIF('EQ1 Requirements'!M4:M45,"Yes")/42,"")</f>
        <v>0.97619047619047616</v>
      </c>
      <c r="E5" s="7">
        <f>IF(AND(ISNUMBER(C5),ISNUMBER(D5)),(COUNTIF('EQ1 Requirements'!I4:I45,"Yes")+COUNTIF('EQ1 Requirements'!M4:M45,"Yes"))/84,"")</f>
        <v>0.97619047619047616</v>
      </c>
      <c r="F5" s="6">
        <f>COUNTIF('EQ1 Requirements'!I4:I45,"Yes")+COUNTIF('EQ1 Requirements'!I4:I45,"No")+COUNTIF('EQ1 Requirements'!M4:M45,"Yes")+COUNTIF('EQ1 Requirements'!M4:M45,"No")</f>
        <v>84</v>
      </c>
      <c r="G5" s="6">
        <v>84</v>
      </c>
      <c r="H5" s="6" t="s">
        <v>351</v>
      </c>
    </row>
    <row r="6" spans="1:14" ht="36.75" customHeight="1">
      <c r="A6" s="6" t="s">
        <v>338</v>
      </c>
      <c r="B6" s="6" t="s">
        <v>352</v>
      </c>
      <c r="C6" s="7">
        <f>IF(COUNTIF('EQ2 Configuration'!I4:I12,"Yes")+COUNTIF('EQ2 Configuration'!I4:I12,"No")=9,COUNTIF('EQ2 Configuration'!I4:I12,"Yes")/9,"")</f>
        <v>1</v>
      </c>
      <c r="D6" s="7">
        <f>IF(COUNTIF('EQ2 Configuration'!M4:M12,"Yes")+COUNTIF('EQ2 Configuration'!M4:M12,"No")=9,COUNTIF('EQ2 Configuration'!M4:M12,"Yes")/9,"")</f>
        <v>1</v>
      </c>
      <c r="E6" s="7">
        <f>IF(AND(ISNUMBER(C6),ISNUMBER(D6)),(COUNTIF('EQ2 Configuration'!I4:I12,"Yes")+COUNTIF('EQ2 Configuration'!M4:M12,"Yes"))/18,"")</f>
        <v>1</v>
      </c>
      <c r="F6" s="6">
        <f>COUNTIF('EQ2 Configuration'!I4:I12,"Yes")+COUNTIF('EQ2 Configuration'!I4:I12,"No")+COUNTIF('EQ2 Configuration'!M4:M12,"Yes")+COUNTIF('EQ2 Configuration'!M4:M12,"No")</f>
        <v>18</v>
      </c>
      <c r="G6" s="6">
        <v>18</v>
      </c>
      <c r="H6" s="6" t="s">
        <v>353</v>
      </c>
    </row>
    <row r="7" spans="1:14" ht="27" customHeight="1">
      <c r="A7" s="6" t="s">
        <v>354</v>
      </c>
      <c r="B7" s="6" t="s">
        <v>355</v>
      </c>
      <c r="C7" s="7">
        <f>IF(COUNTIF('EQ3 Package'!I4:I11,"Yes")+COUNTIF('EQ3 Package'!I4:I11,"No")=8,IF(COUNTIF('EQ3 Package'!I4:I11,"No")=0,1,0),"")</f>
        <v>1</v>
      </c>
      <c r="D7" s="7">
        <f>IF(COUNTIF('EQ3 Package'!M4:M11,"Yes")+COUNTIF('EQ3 Package'!M4:M11,"No")=8,IF(COUNTIF('EQ3 Package'!M4:M11,"No")=0,1,0),"")</f>
        <v>1</v>
      </c>
      <c r="E7" s="7">
        <f>IF(AND(ISNUMBER(C7),ISNUMBER(D7)),AVERAGE(C7:D7),"")</f>
        <v>1</v>
      </c>
      <c r="F7" s="6">
        <f>COUNTIF('EQ3 Package'!I4:I11,"Yes")+COUNTIF('EQ3 Package'!I4:I11,"No")+COUNTIF('EQ3 Package'!M4:M11,"Yes")+COUNTIF('EQ3 Package'!M4:M11,"No")</f>
        <v>16</v>
      </c>
      <c r="G7" s="6">
        <v>16</v>
      </c>
      <c r="H7" s="6" t="s">
        <v>356</v>
      </c>
    </row>
    <row r="8" spans="1:14" ht="15" customHeight="1">
      <c r="A8" s="6" t="s">
        <v>357</v>
      </c>
      <c r="B8" s="6" t="s">
        <v>358</v>
      </c>
      <c r="C8" s="7">
        <f>IF(COUNTIF('EQ4 Execution'!I4:I7,"Yes")+COUNTIF('EQ4 Execution'!I4:I7,"No")=4,IF(COUNTIF('EQ4 Execution'!I4:I7,"No")=0,1,0),"")</f>
        <v>1</v>
      </c>
      <c r="D8" s="7">
        <f>IF(COUNTIF('EQ4 Execution'!M4:M7,"Yes")+COUNTIF('EQ4 Execution'!M4:M7,"No")=4,IF(COUNTIF('EQ4 Execution'!M4:M7,"No")=0,1,0),"")</f>
        <v>1</v>
      </c>
      <c r="E8" s="7">
        <f>IF(AND(ISNUMBER(C8),ISNUMBER(D8)),AVERAGE(C8:D8),"")</f>
        <v>1</v>
      </c>
      <c r="F8" s="6">
        <f>COUNTIF('EQ4 Execution'!I4:I7,"Yes")+COUNTIF('EQ4 Execution'!I4:I7,"No")+COUNTIF('EQ4 Execution'!M4:M7,"Yes")+COUNTIF('EQ4 Execution'!M4:M7,"No")</f>
        <v>8</v>
      </c>
      <c r="G8" s="6">
        <v>8</v>
      </c>
      <c r="H8" s="6" t="s">
        <v>359</v>
      </c>
    </row>
    <row r="10" spans="1:14" ht="15" customHeight="1">
      <c r="A10" s="8" t="s">
        <v>360</v>
      </c>
      <c r="B10" s="8" t="s">
        <v>344</v>
      </c>
      <c r="C10" s="8" t="s">
        <v>345</v>
      </c>
      <c r="D10" s="8" t="s">
        <v>361</v>
      </c>
      <c r="E10" s="8"/>
      <c r="F10" s="8"/>
      <c r="G10" s="8"/>
      <c r="H10" s="8" t="s">
        <v>362</v>
      </c>
    </row>
    <row r="11" spans="1:14" ht="43.5" customHeight="1">
      <c r="A11" s="2" t="s">
        <v>363</v>
      </c>
      <c r="B11" s="2" t="str">
        <f>"Yes: "&amp;COUNTIF('EQ1 Diagnostics'!I4:I6,"Yes")&amp;"; No: "&amp;COUNTIF('EQ1 Diagnostics'!I4:I6,"No")</f>
        <v>Yes: 3; No: 0</v>
      </c>
      <c r="C11" s="2" t="str">
        <f>"Yes: "&amp;COUNTIF('EQ1 Diagnostics'!M4:M6,"Yes")&amp;"; No: "&amp;COUNTIF('EQ1 Diagnostics'!M4:M6,"No")</f>
        <v>Yes: 3; No: 0</v>
      </c>
      <c r="D11" s="2" t="s">
        <v>364</v>
      </c>
      <c r="E11" s="2"/>
      <c r="F11" s="2"/>
      <c r="G11" s="2"/>
      <c r="H11" s="2" t="s">
        <v>365</v>
      </c>
    </row>
    <row r="12" spans="1:14" ht="64.5" customHeight="1">
      <c r="A12" s="2" t="s">
        <v>366</v>
      </c>
      <c r="B12" s="2"/>
      <c r="C12" s="2"/>
      <c r="D12" s="2" t="s">
        <v>367</v>
      </c>
      <c r="E12" s="2"/>
      <c r="F12" s="2"/>
      <c r="G12" s="2"/>
      <c r="H12" s="2" t="s">
        <v>368</v>
      </c>
    </row>
    <row r="13" spans="1:14" ht="81.75" customHeight="1">
      <c r="A13" s="2" t="s">
        <v>369</v>
      </c>
      <c r="B13" s="2"/>
      <c r="C13" s="2"/>
      <c r="D13" s="2" t="s">
        <v>370</v>
      </c>
      <c r="E13" s="2"/>
      <c r="F13" s="2"/>
      <c r="G13" s="2"/>
      <c r="H13" s="2" t="s">
        <v>371</v>
      </c>
    </row>
    <row r="14" spans="1:14" ht="26.45" customHeight="1">
      <c r="A14" s="2" t="s">
        <v>372</v>
      </c>
      <c r="B14" s="2"/>
      <c r="C14" s="2"/>
      <c r="D14" s="2"/>
      <c r="E14" s="2"/>
      <c r="F14" s="2"/>
      <c r="G14" s="2"/>
      <c r="H14" s="2" t="s">
        <v>373</v>
      </c>
    </row>
  </sheetData>
  <mergeCells count="2">
    <mergeCell ref="A2:N2"/>
    <mergeCell ref="A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5"/>
  <sheetViews>
    <sheetView showGridLines="0" workbookViewId="0">
      <pane xSplit="4" ySplit="2" topLeftCell="F3" activePane="bottomRight" state="frozen"/>
      <selection pane="topRight" activeCell="E1" sqref="E1"/>
      <selection pane="bottomLeft" activeCell="A3" sqref="A3"/>
      <selection pane="bottomRight" activeCell="H4" sqref="H4"/>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0</v>
      </c>
      <c r="B1" s="10"/>
      <c r="C1" s="10"/>
      <c r="D1" s="10"/>
      <c r="E1" s="10"/>
      <c r="F1" s="10"/>
      <c r="G1" s="10"/>
      <c r="H1" s="10"/>
      <c r="I1" s="10"/>
      <c r="J1" s="10"/>
      <c r="K1" s="10"/>
      <c r="L1" s="10"/>
      <c r="M1" s="10"/>
      <c r="N1" s="10"/>
    </row>
    <row r="2" spans="1:14" ht="39.950000000000003" customHeight="1">
      <c r="A2" s="9" t="s">
        <v>1</v>
      </c>
      <c r="B2" s="10"/>
      <c r="C2" s="10"/>
      <c r="D2" s="10"/>
      <c r="E2" s="10"/>
      <c r="F2" s="10"/>
      <c r="G2" s="10"/>
      <c r="H2" s="10"/>
      <c r="I2" s="10"/>
      <c r="J2" s="10"/>
      <c r="K2" s="10"/>
      <c r="L2" s="10"/>
      <c r="M2" s="10"/>
      <c r="N2" s="10"/>
    </row>
    <row r="3" spans="1:14" ht="15" customHeight="1">
      <c r="A3" s="1" t="s">
        <v>2</v>
      </c>
      <c r="B3" s="1" t="s">
        <v>3</v>
      </c>
      <c r="C3" s="1" t="s">
        <v>4</v>
      </c>
      <c r="D3" s="1" t="s">
        <v>5</v>
      </c>
      <c r="E3" s="1" t="s">
        <v>6</v>
      </c>
      <c r="F3" s="1" t="s">
        <v>7</v>
      </c>
      <c r="G3" s="1" t="s">
        <v>8</v>
      </c>
      <c r="H3" s="1" t="s">
        <v>9</v>
      </c>
      <c r="I3" s="1" t="s">
        <v>10</v>
      </c>
      <c r="J3" s="1" t="s">
        <v>11</v>
      </c>
      <c r="K3" s="1" t="s">
        <v>12</v>
      </c>
      <c r="L3" s="1" t="s">
        <v>13</v>
      </c>
      <c r="M3" s="1" t="s">
        <v>14</v>
      </c>
      <c r="N3" s="1" t="s">
        <v>15</v>
      </c>
    </row>
    <row r="4" spans="1:14" ht="26.45" customHeight="1">
      <c r="A4" s="3" t="s">
        <v>16</v>
      </c>
      <c r="B4" s="3" t="s">
        <v>17</v>
      </c>
      <c r="C4" s="3" t="s">
        <v>18</v>
      </c>
      <c r="D4" s="3" t="s">
        <v>19</v>
      </c>
      <c r="E4" s="3" t="s">
        <v>20</v>
      </c>
      <c r="F4" s="3" t="s">
        <v>21</v>
      </c>
      <c r="G4" s="3" t="s">
        <v>22</v>
      </c>
      <c r="H4" s="4" t="s">
        <v>23</v>
      </c>
      <c r="I4" s="3" t="s">
        <v>16</v>
      </c>
      <c r="J4" s="3" t="s">
        <v>24</v>
      </c>
      <c r="K4" s="3" t="s">
        <v>25</v>
      </c>
      <c r="L4" s="4" t="s">
        <v>23</v>
      </c>
      <c r="M4" s="3" t="s">
        <v>16</v>
      </c>
      <c r="N4" s="3"/>
    </row>
    <row r="5" spans="1:14" ht="63.75" customHeight="1">
      <c r="A5" s="3" t="s">
        <v>16</v>
      </c>
      <c r="B5" s="3" t="s">
        <v>26</v>
      </c>
      <c r="C5" s="3" t="s">
        <v>27</v>
      </c>
      <c r="D5" s="3" t="s">
        <v>28</v>
      </c>
      <c r="E5" s="3" t="s">
        <v>20</v>
      </c>
      <c r="F5" s="3" t="s">
        <v>29</v>
      </c>
      <c r="G5" s="3" t="s">
        <v>30</v>
      </c>
      <c r="H5" s="4" t="s">
        <v>23</v>
      </c>
      <c r="I5" s="3" t="s">
        <v>16</v>
      </c>
      <c r="J5" s="3" t="s">
        <v>31</v>
      </c>
      <c r="K5" s="3" t="s">
        <v>32</v>
      </c>
      <c r="L5" s="4" t="s">
        <v>23</v>
      </c>
      <c r="M5" s="3" t="s">
        <v>16</v>
      </c>
      <c r="N5" s="3"/>
    </row>
    <row r="6" spans="1:14" ht="51" customHeight="1">
      <c r="A6" s="3" t="s">
        <v>16</v>
      </c>
      <c r="B6" s="3" t="s">
        <v>33</v>
      </c>
      <c r="C6" s="3" t="s">
        <v>34</v>
      </c>
      <c r="D6" s="3" t="s">
        <v>35</v>
      </c>
      <c r="E6" s="3" t="s">
        <v>20</v>
      </c>
      <c r="F6" s="3" t="s">
        <v>36</v>
      </c>
      <c r="G6" s="3" t="s">
        <v>37</v>
      </c>
      <c r="H6" s="4" t="s">
        <v>23</v>
      </c>
      <c r="I6" s="3" t="s">
        <v>16</v>
      </c>
      <c r="J6" s="3" t="s">
        <v>38</v>
      </c>
      <c r="K6" s="3" t="s">
        <v>39</v>
      </c>
      <c r="L6" s="4" t="s">
        <v>23</v>
      </c>
      <c r="M6" s="3" t="s">
        <v>16</v>
      </c>
      <c r="N6" s="3"/>
    </row>
    <row r="7" spans="1:14" ht="39.6" customHeight="1">
      <c r="A7" s="3" t="s">
        <v>16</v>
      </c>
      <c r="B7" s="3" t="s">
        <v>40</v>
      </c>
      <c r="C7" s="3" t="s">
        <v>41</v>
      </c>
      <c r="D7" s="3" t="s">
        <v>42</v>
      </c>
      <c r="E7" s="3" t="s">
        <v>20</v>
      </c>
      <c r="F7" s="3" t="s">
        <v>43</v>
      </c>
      <c r="G7" s="3" t="s">
        <v>44</v>
      </c>
      <c r="H7" s="4" t="s">
        <v>23</v>
      </c>
      <c r="I7" s="3" t="s">
        <v>16</v>
      </c>
      <c r="J7" s="3" t="s">
        <v>45</v>
      </c>
      <c r="K7" s="3" t="s">
        <v>46</v>
      </c>
      <c r="L7" s="4" t="s">
        <v>23</v>
      </c>
      <c r="M7" s="3" t="s">
        <v>16</v>
      </c>
      <c r="N7" s="3"/>
    </row>
    <row r="8" spans="1:14" ht="15" customHeight="1">
      <c r="A8" s="3" t="s">
        <v>16</v>
      </c>
      <c r="B8" s="3" t="s">
        <v>47</v>
      </c>
      <c r="C8" s="3" t="s">
        <v>48</v>
      </c>
      <c r="D8" s="3" t="s">
        <v>49</v>
      </c>
      <c r="E8" s="3" t="s">
        <v>20</v>
      </c>
      <c r="F8" s="3" t="s">
        <v>50</v>
      </c>
      <c r="G8" s="3" t="s">
        <v>51</v>
      </c>
      <c r="H8" s="4" t="s">
        <v>23</v>
      </c>
      <c r="I8" s="3" t="s">
        <v>16</v>
      </c>
      <c r="J8" s="3" t="s">
        <v>52</v>
      </c>
      <c r="K8" s="3" t="s">
        <v>53</v>
      </c>
      <c r="L8" s="4" t="s">
        <v>23</v>
      </c>
      <c r="M8" s="3" t="s">
        <v>16</v>
      </c>
      <c r="N8" s="3"/>
    </row>
    <row r="9" spans="1:14" ht="51" customHeight="1">
      <c r="A9" s="3" t="s">
        <v>16</v>
      </c>
      <c r="B9" s="3" t="s">
        <v>54</v>
      </c>
      <c r="C9" s="3" t="s">
        <v>55</v>
      </c>
      <c r="D9" s="3" t="s">
        <v>56</v>
      </c>
      <c r="E9" s="3" t="s">
        <v>20</v>
      </c>
      <c r="F9" s="3" t="s">
        <v>57</v>
      </c>
      <c r="G9" s="3" t="s">
        <v>58</v>
      </c>
      <c r="H9" s="4" t="s">
        <v>23</v>
      </c>
      <c r="I9" s="3" t="s">
        <v>16</v>
      </c>
      <c r="J9" s="3" t="s">
        <v>59</v>
      </c>
      <c r="K9" s="3" t="s">
        <v>60</v>
      </c>
      <c r="L9" s="4" t="s">
        <v>23</v>
      </c>
      <c r="M9" s="3" t="s">
        <v>16</v>
      </c>
      <c r="N9" s="3"/>
    </row>
    <row r="10" spans="1:14" ht="48.75" customHeight="1">
      <c r="A10" s="3" t="s">
        <v>16</v>
      </c>
      <c r="B10" s="3" t="s">
        <v>61</v>
      </c>
      <c r="C10" s="3" t="s">
        <v>62</v>
      </c>
      <c r="D10" s="3" t="s">
        <v>63</v>
      </c>
      <c r="E10" s="3" t="s">
        <v>20</v>
      </c>
      <c r="F10" s="3" t="s">
        <v>64</v>
      </c>
      <c r="G10" s="3" t="s">
        <v>65</v>
      </c>
      <c r="H10" s="4" t="s">
        <v>23</v>
      </c>
      <c r="I10" s="3" t="s">
        <v>16</v>
      </c>
      <c r="J10" s="3" t="s">
        <v>66</v>
      </c>
      <c r="K10" s="3" t="s">
        <v>67</v>
      </c>
      <c r="L10" s="4" t="s">
        <v>23</v>
      </c>
      <c r="M10" s="3" t="s">
        <v>16</v>
      </c>
      <c r="N10" s="3"/>
    </row>
    <row r="11" spans="1:14" ht="57" customHeight="1">
      <c r="A11" s="3" t="s">
        <v>16</v>
      </c>
      <c r="B11" s="3" t="s">
        <v>68</v>
      </c>
      <c r="C11" s="3" t="s">
        <v>69</v>
      </c>
      <c r="D11" s="3" t="s">
        <v>70</v>
      </c>
      <c r="E11" s="3" t="s">
        <v>20</v>
      </c>
      <c r="F11" s="3" t="s">
        <v>71</v>
      </c>
      <c r="G11" s="3" t="s">
        <v>72</v>
      </c>
      <c r="H11" s="4" t="s">
        <v>23</v>
      </c>
      <c r="I11" s="3" t="s">
        <v>16</v>
      </c>
      <c r="J11" s="3" t="s">
        <v>73</v>
      </c>
      <c r="K11" s="3" t="s">
        <v>74</v>
      </c>
      <c r="L11" s="4" t="s">
        <v>23</v>
      </c>
      <c r="M11" s="3" t="s">
        <v>16</v>
      </c>
      <c r="N11" s="3"/>
    </row>
    <row r="12" spans="1:14" ht="39.6" customHeight="1">
      <c r="A12" s="3" t="s">
        <v>16</v>
      </c>
      <c r="B12" s="3" t="s">
        <v>75</v>
      </c>
      <c r="C12" s="3" t="s">
        <v>76</v>
      </c>
      <c r="D12" s="3" t="s">
        <v>77</v>
      </c>
      <c r="E12" s="3" t="s">
        <v>20</v>
      </c>
      <c r="F12" s="3" t="s">
        <v>78</v>
      </c>
      <c r="G12" s="3" t="s">
        <v>79</v>
      </c>
      <c r="H12" s="4" t="s">
        <v>23</v>
      </c>
      <c r="I12" s="3" t="s">
        <v>16</v>
      </c>
      <c r="J12" s="3" t="s">
        <v>80</v>
      </c>
      <c r="K12" s="3" t="s">
        <v>81</v>
      </c>
      <c r="L12" s="4" t="s">
        <v>23</v>
      </c>
      <c r="M12" s="3" t="s">
        <v>16</v>
      </c>
      <c r="N12" s="3"/>
    </row>
    <row r="13" spans="1:14" ht="29.25" customHeight="1">
      <c r="A13" s="3" t="s">
        <v>16</v>
      </c>
      <c r="B13" s="3" t="s">
        <v>82</v>
      </c>
      <c r="C13" s="3" t="s">
        <v>83</v>
      </c>
      <c r="D13" s="3" t="s">
        <v>84</v>
      </c>
      <c r="E13" s="3" t="s">
        <v>20</v>
      </c>
      <c r="F13" s="3" t="s">
        <v>85</v>
      </c>
      <c r="G13" s="3" t="s">
        <v>86</v>
      </c>
      <c r="H13" s="4" t="s">
        <v>23</v>
      </c>
      <c r="I13" s="3" t="s">
        <v>16</v>
      </c>
      <c r="J13" s="3" t="s">
        <v>85</v>
      </c>
      <c r="K13" s="3" t="s">
        <v>87</v>
      </c>
      <c r="L13" s="4" t="s">
        <v>23</v>
      </c>
      <c r="M13" s="3" t="s">
        <v>16</v>
      </c>
      <c r="N13" s="3"/>
    </row>
    <row r="14" spans="1:14" ht="15" customHeight="1">
      <c r="A14" s="3" t="s">
        <v>16</v>
      </c>
      <c r="B14" s="3" t="s">
        <v>88</v>
      </c>
      <c r="C14" s="3" t="s">
        <v>89</v>
      </c>
      <c r="D14" s="3" t="s">
        <v>90</v>
      </c>
      <c r="E14" s="3" t="s">
        <v>20</v>
      </c>
      <c r="F14" s="3" t="s">
        <v>91</v>
      </c>
      <c r="G14" s="3" t="s">
        <v>92</v>
      </c>
      <c r="H14" s="4" t="s">
        <v>23</v>
      </c>
      <c r="I14" s="3" t="s">
        <v>16</v>
      </c>
      <c r="J14" s="3" t="s">
        <v>91</v>
      </c>
      <c r="K14" s="3" t="s">
        <v>93</v>
      </c>
      <c r="L14" s="4" t="s">
        <v>23</v>
      </c>
      <c r="M14" s="3" t="s">
        <v>16</v>
      </c>
      <c r="N14" s="3"/>
    </row>
    <row r="15" spans="1:14" ht="26.45" customHeight="1">
      <c r="A15" s="3" t="s">
        <v>16</v>
      </c>
      <c r="B15" s="3" t="s">
        <v>94</v>
      </c>
      <c r="C15" s="3" t="s">
        <v>95</v>
      </c>
      <c r="D15" s="3" t="s">
        <v>96</v>
      </c>
      <c r="E15" s="3" t="s">
        <v>20</v>
      </c>
      <c r="F15" s="3" t="s">
        <v>97</v>
      </c>
      <c r="G15" s="3" t="s">
        <v>98</v>
      </c>
      <c r="H15" s="4" t="s">
        <v>23</v>
      </c>
      <c r="I15" s="3" t="s">
        <v>16</v>
      </c>
      <c r="J15" s="3" t="s">
        <v>97</v>
      </c>
      <c r="K15" s="3" t="s">
        <v>99</v>
      </c>
      <c r="L15" s="4" t="s">
        <v>23</v>
      </c>
      <c r="M15" s="3" t="s">
        <v>16</v>
      </c>
      <c r="N15" s="3"/>
    </row>
    <row r="16" spans="1:14" ht="26.45" customHeight="1">
      <c r="A16" s="3" t="s">
        <v>16</v>
      </c>
      <c r="B16" s="3" t="s">
        <v>100</v>
      </c>
      <c r="C16" s="3" t="s">
        <v>101</v>
      </c>
      <c r="D16" s="3" t="s">
        <v>102</v>
      </c>
      <c r="E16" s="3" t="s">
        <v>20</v>
      </c>
      <c r="F16" s="3" t="s">
        <v>103</v>
      </c>
      <c r="G16" s="3" t="s">
        <v>104</v>
      </c>
      <c r="H16" s="4" t="s">
        <v>23</v>
      </c>
      <c r="I16" s="3" t="s">
        <v>16</v>
      </c>
      <c r="J16" s="3" t="s">
        <v>103</v>
      </c>
      <c r="K16" s="3" t="s">
        <v>105</v>
      </c>
      <c r="L16" s="4" t="s">
        <v>23</v>
      </c>
      <c r="M16" s="3" t="s">
        <v>16</v>
      </c>
      <c r="N16" s="3"/>
    </row>
    <row r="17" spans="1:14" ht="26.45" customHeight="1">
      <c r="A17" s="3" t="s">
        <v>16</v>
      </c>
      <c r="B17" s="3" t="s">
        <v>106</v>
      </c>
      <c r="C17" s="3" t="s">
        <v>107</v>
      </c>
      <c r="D17" s="3" t="s">
        <v>108</v>
      </c>
      <c r="E17" s="3" t="s">
        <v>20</v>
      </c>
      <c r="F17" s="3" t="s">
        <v>109</v>
      </c>
      <c r="G17" s="3" t="s">
        <v>110</v>
      </c>
      <c r="H17" s="4" t="s">
        <v>23</v>
      </c>
      <c r="I17" s="3" t="s">
        <v>16</v>
      </c>
      <c r="J17" s="3" t="s">
        <v>111</v>
      </c>
      <c r="K17" s="3" t="s">
        <v>112</v>
      </c>
      <c r="L17" s="4" t="s">
        <v>23</v>
      </c>
      <c r="M17" s="3" t="s">
        <v>16</v>
      </c>
      <c r="N17" s="3"/>
    </row>
    <row r="18" spans="1:14" ht="26.45" customHeight="1">
      <c r="A18" s="3" t="s">
        <v>16</v>
      </c>
      <c r="B18" s="3" t="s">
        <v>113</v>
      </c>
      <c r="C18" s="3" t="s">
        <v>114</v>
      </c>
      <c r="D18" s="3" t="s">
        <v>115</v>
      </c>
      <c r="E18" s="3" t="s">
        <v>20</v>
      </c>
      <c r="F18" s="3" t="s">
        <v>116</v>
      </c>
      <c r="G18" s="3" t="s">
        <v>117</v>
      </c>
      <c r="H18" s="4" t="s">
        <v>23</v>
      </c>
      <c r="I18" s="3" t="s">
        <v>16</v>
      </c>
      <c r="J18" s="3" t="s">
        <v>116</v>
      </c>
      <c r="K18" s="3" t="s">
        <v>118</v>
      </c>
      <c r="L18" s="4" t="s">
        <v>23</v>
      </c>
      <c r="M18" s="3" t="s">
        <v>16</v>
      </c>
      <c r="N18" s="3"/>
    </row>
    <row r="19" spans="1:14" ht="15" customHeight="1">
      <c r="A19" s="3" t="s">
        <v>16</v>
      </c>
      <c r="B19" s="3" t="s">
        <v>119</v>
      </c>
      <c r="C19" s="3" t="s">
        <v>120</v>
      </c>
      <c r="D19" s="3" t="s">
        <v>121</v>
      </c>
      <c r="E19" s="3" t="s">
        <v>20</v>
      </c>
      <c r="F19" s="3" t="s">
        <v>122</v>
      </c>
      <c r="G19" s="3" t="s">
        <v>123</v>
      </c>
      <c r="H19" s="4" t="s">
        <v>23</v>
      </c>
      <c r="I19" s="3" t="s">
        <v>16</v>
      </c>
      <c r="J19" s="3" t="s">
        <v>124</v>
      </c>
      <c r="K19" s="3" t="s">
        <v>125</v>
      </c>
      <c r="L19" s="4" t="s">
        <v>23</v>
      </c>
      <c r="M19" s="3" t="s">
        <v>16</v>
      </c>
      <c r="N19" s="3"/>
    </row>
    <row r="20" spans="1:14" ht="26.45" customHeight="1">
      <c r="A20" s="3" t="s">
        <v>16</v>
      </c>
      <c r="B20" s="3" t="s">
        <v>126</v>
      </c>
      <c r="C20" s="3" t="s">
        <v>127</v>
      </c>
      <c r="D20" s="3" t="s">
        <v>128</v>
      </c>
      <c r="E20" s="3" t="s">
        <v>20</v>
      </c>
      <c r="F20" s="3" t="s">
        <v>129</v>
      </c>
      <c r="G20" s="3" t="s">
        <v>130</v>
      </c>
      <c r="H20" s="4" t="s">
        <v>23</v>
      </c>
      <c r="I20" s="3" t="s">
        <v>16</v>
      </c>
      <c r="J20" s="3" t="s">
        <v>131</v>
      </c>
      <c r="K20" s="3" t="s">
        <v>132</v>
      </c>
      <c r="L20" s="4" t="s">
        <v>23</v>
      </c>
      <c r="M20" s="3" t="s">
        <v>16</v>
      </c>
      <c r="N20" s="3"/>
    </row>
    <row r="21" spans="1:14" ht="26.45" customHeight="1">
      <c r="A21" s="3" t="s">
        <v>16</v>
      </c>
      <c r="B21" s="3" t="s">
        <v>133</v>
      </c>
      <c r="C21" s="3" t="s">
        <v>134</v>
      </c>
      <c r="D21" s="3" t="s">
        <v>135</v>
      </c>
      <c r="E21" s="3" t="s">
        <v>20</v>
      </c>
      <c r="F21" s="3" t="s">
        <v>136</v>
      </c>
      <c r="G21" s="3" t="s">
        <v>137</v>
      </c>
      <c r="H21" s="4" t="s">
        <v>23</v>
      </c>
      <c r="I21" s="3" t="s">
        <v>16</v>
      </c>
      <c r="J21" s="3" t="s">
        <v>138</v>
      </c>
      <c r="K21" s="3" t="s">
        <v>139</v>
      </c>
      <c r="L21" s="4" t="s">
        <v>23</v>
      </c>
      <c r="M21" s="3" t="s">
        <v>16</v>
      </c>
      <c r="N21" s="3"/>
    </row>
    <row r="22" spans="1:14" ht="26.45" customHeight="1">
      <c r="A22" s="3" t="s">
        <v>16</v>
      </c>
      <c r="B22" s="3" t="s">
        <v>140</v>
      </c>
      <c r="C22" s="3" t="s">
        <v>141</v>
      </c>
      <c r="D22" s="3" t="s">
        <v>142</v>
      </c>
      <c r="E22" s="3" t="s">
        <v>20</v>
      </c>
      <c r="F22" s="3" t="s">
        <v>143</v>
      </c>
      <c r="G22" s="3" t="s">
        <v>144</v>
      </c>
      <c r="H22" s="4" t="s">
        <v>23</v>
      </c>
      <c r="I22" s="3" t="s">
        <v>16</v>
      </c>
      <c r="J22" s="3" t="s">
        <v>143</v>
      </c>
      <c r="K22" s="3" t="s">
        <v>145</v>
      </c>
      <c r="L22" s="4" t="s">
        <v>23</v>
      </c>
      <c r="M22" s="3" t="s">
        <v>16</v>
      </c>
      <c r="N22" s="3"/>
    </row>
    <row r="23" spans="1:14" ht="64.5" customHeight="1">
      <c r="A23" s="3" t="s">
        <v>16</v>
      </c>
      <c r="B23" s="3" t="s">
        <v>146</v>
      </c>
      <c r="C23" s="3" t="s">
        <v>147</v>
      </c>
      <c r="D23" s="3" t="s">
        <v>148</v>
      </c>
      <c r="E23" s="3" t="s">
        <v>20</v>
      </c>
      <c r="F23" s="3" t="s">
        <v>149</v>
      </c>
      <c r="G23" s="3" t="s">
        <v>150</v>
      </c>
      <c r="H23" s="4" t="s">
        <v>23</v>
      </c>
      <c r="I23" s="3" t="s">
        <v>16</v>
      </c>
      <c r="J23" s="3" t="s">
        <v>149</v>
      </c>
      <c r="K23" s="3" t="s">
        <v>151</v>
      </c>
      <c r="L23" s="4" t="s">
        <v>23</v>
      </c>
      <c r="M23" s="3" t="s">
        <v>16</v>
      </c>
      <c r="N23" s="3"/>
    </row>
    <row r="24" spans="1:14" ht="15" customHeight="1">
      <c r="A24" s="3" t="s">
        <v>16</v>
      </c>
      <c r="B24" s="3" t="s">
        <v>152</v>
      </c>
      <c r="C24" s="3" t="s">
        <v>153</v>
      </c>
      <c r="D24" s="3" t="s">
        <v>154</v>
      </c>
      <c r="E24" s="3" t="s">
        <v>20</v>
      </c>
      <c r="F24" s="3" t="s">
        <v>155</v>
      </c>
      <c r="G24" s="3" t="s">
        <v>156</v>
      </c>
      <c r="H24" s="4" t="s">
        <v>23</v>
      </c>
      <c r="I24" s="3" t="s">
        <v>16</v>
      </c>
      <c r="J24" s="3" t="s">
        <v>157</v>
      </c>
      <c r="K24" s="3" t="s">
        <v>158</v>
      </c>
      <c r="L24" s="4" t="s">
        <v>23</v>
      </c>
      <c r="M24" s="3" t="s">
        <v>16</v>
      </c>
      <c r="N24" s="3"/>
    </row>
    <row r="25" spans="1:14" ht="39.6" customHeight="1">
      <c r="A25" s="3" t="s">
        <v>16</v>
      </c>
      <c r="B25" s="3" t="s">
        <v>159</v>
      </c>
      <c r="C25" s="3" t="s">
        <v>160</v>
      </c>
      <c r="D25" s="3" t="s">
        <v>161</v>
      </c>
      <c r="E25" s="3" t="s">
        <v>20</v>
      </c>
      <c r="F25" s="3" t="s">
        <v>162</v>
      </c>
      <c r="G25" s="3" t="s">
        <v>163</v>
      </c>
      <c r="H25" s="4" t="s">
        <v>23</v>
      </c>
      <c r="I25" s="3" t="s">
        <v>16</v>
      </c>
      <c r="J25" s="3" t="s">
        <v>164</v>
      </c>
      <c r="K25" s="3" t="s">
        <v>165</v>
      </c>
      <c r="L25" s="4" t="s">
        <v>23</v>
      </c>
      <c r="M25" s="3" t="s">
        <v>16</v>
      </c>
      <c r="N25" s="3"/>
    </row>
    <row r="26" spans="1:14" ht="46.5" customHeight="1">
      <c r="A26" s="3" t="s">
        <v>16</v>
      </c>
      <c r="B26" s="3" t="s">
        <v>166</v>
      </c>
      <c r="C26" s="3" t="s">
        <v>167</v>
      </c>
      <c r="D26" s="3" t="s">
        <v>168</v>
      </c>
      <c r="E26" s="3" t="s">
        <v>20</v>
      </c>
      <c r="F26" s="3" t="s">
        <v>169</v>
      </c>
      <c r="G26" s="3" t="s">
        <v>170</v>
      </c>
      <c r="H26" s="4" t="s">
        <v>23</v>
      </c>
      <c r="I26" s="3" t="s">
        <v>16</v>
      </c>
      <c r="J26" s="3" t="s">
        <v>171</v>
      </c>
      <c r="K26" s="3" t="s">
        <v>172</v>
      </c>
      <c r="L26" s="4" t="s">
        <v>23</v>
      </c>
      <c r="M26" s="3" t="s">
        <v>16</v>
      </c>
      <c r="N26" s="3"/>
    </row>
    <row r="27" spans="1:14" ht="58.5" customHeight="1">
      <c r="A27" s="3" t="s">
        <v>16</v>
      </c>
      <c r="B27" s="3" t="s">
        <v>173</v>
      </c>
      <c r="C27" s="3" t="s">
        <v>174</v>
      </c>
      <c r="D27" s="3" t="s">
        <v>175</v>
      </c>
      <c r="E27" s="3" t="s">
        <v>20</v>
      </c>
      <c r="F27" s="3" t="s">
        <v>176</v>
      </c>
      <c r="G27" s="3" t="s">
        <v>177</v>
      </c>
      <c r="H27" s="4" t="s">
        <v>23</v>
      </c>
      <c r="I27" s="3" t="s">
        <v>16</v>
      </c>
      <c r="J27" s="3" t="s">
        <v>178</v>
      </c>
      <c r="K27" s="3" t="s">
        <v>179</v>
      </c>
      <c r="L27" s="4" t="s">
        <v>23</v>
      </c>
      <c r="M27" s="3" t="s">
        <v>16</v>
      </c>
      <c r="N27" s="3"/>
    </row>
    <row r="28" spans="1:14" ht="26.45" customHeight="1">
      <c r="A28" s="3" t="s">
        <v>16</v>
      </c>
      <c r="B28" s="3" t="s">
        <v>180</v>
      </c>
      <c r="C28" s="3" t="s">
        <v>181</v>
      </c>
      <c r="D28" s="3" t="s">
        <v>182</v>
      </c>
      <c r="E28" s="3" t="s">
        <v>20</v>
      </c>
      <c r="F28" s="3" t="s">
        <v>183</v>
      </c>
      <c r="G28" s="3" t="s">
        <v>184</v>
      </c>
      <c r="H28" s="4" t="s">
        <v>23</v>
      </c>
      <c r="I28" s="3" t="s">
        <v>16</v>
      </c>
      <c r="J28" s="3" t="s">
        <v>185</v>
      </c>
      <c r="K28" s="3" t="s">
        <v>186</v>
      </c>
      <c r="L28" s="4" t="s">
        <v>23</v>
      </c>
      <c r="M28" s="3" t="s">
        <v>16</v>
      </c>
      <c r="N28" s="3"/>
    </row>
    <row r="29" spans="1:14" ht="91.5" customHeight="1">
      <c r="A29" s="3" t="s">
        <v>16</v>
      </c>
      <c r="B29" s="3" t="s">
        <v>187</v>
      </c>
      <c r="C29" s="3" t="s">
        <v>188</v>
      </c>
      <c r="D29" s="3" t="s">
        <v>189</v>
      </c>
      <c r="E29" s="3" t="s">
        <v>20</v>
      </c>
      <c r="F29" s="3" t="s">
        <v>190</v>
      </c>
      <c r="G29" s="3" t="s">
        <v>191</v>
      </c>
      <c r="H29" s="4" t="s">
        <v>23</v>
      </c>
      <c r="I29" s="3" t="s">
        <v>16</v>
      </c>
      <c r="J29" s="3" t="s">
        <v>192</v>
      </c>
      <c r="K29" s="3" t="s">
        <v>193</v>
      </c>
      <c r="L29" s="4" t="s">
        <v>23</v>
      </c>
      <c r="M29" s="3" t="s">
        <v>16</v>
      </c>
      <c r="N29" s="3"/>
    </row>
    <row r="30" spans="1:14" ht="69" customHeight="1">
      <c r="A30" s="3" t="s">
        <v>16</v>
      </c>
      <c r="B30" s="3" t="s">
        <v>194</v>
      </c>
      <c r="C30" s="3" t="s">
        <v>195</v>
      </c>
      <c r="D30" s="3" t="s">
        <v>196</v>
      </c>
      <c r="E30" s="3" t="s">
        <v>20</v>
      </c>
      <c r="F30" s="3" t="s">
        <v>197</v>
      </c>
      <c r="G30" s="3" t="s">
        <v>198</v>
      </c>
      <c r="H30" s="4" t="s">
        <v>23</v>
      </c>
      <c r="I30" s="3" t="s">
        <v>16</v>
      </c>
      <c r="J30" s="3" t="s">
        <v>199</v>
      </c>
      <c r="K30" s="3" t="s">
        <v>200</v>
      </c>
      <c r="L30" s="4" t="s">
        <v>23</v>
      </c>
      <c r="M30" s="3" t="s">
        <v>16</v>
      </c>
      <c r="N30" s="3"/>
    </row>
    <row r="31" spans="1:14" ht="52.7" customHeight="1">
      <c r="A31" s="3" t="s">
        <v>16</v>
      </c>
      <c r="B31" s="3" t="s">
        <v>201</v>
      </c>
      <c r="C31" s="3" t="s">
        <v>202</v>
      </c>
      <c r="D31" s="3" t="s">
        <v>203</v>
      </c>
      <c r="E31" s="3" t="s">
        <v>20</v>
      </c>
      <c r="F31" s="3" t="s">
        <v>204</v>
      </c>
      <c r="G31" s="3" t="s">
        <v>205</v>
      </c>
      <c r="H31" s="4" t="s">
        <v>23</v>
      </c>
      <c r="I31" s="3" t="s">
        <v>16</v>
      </c>
      <c r="J31" s="3" t="s">
        <v>206</v>
      </c>
      <c r="K31" s="3" t="s">
        <v>207</v>
      </c>
      <c r="L31" s="4" t="s">
        <v>23</v>
      </c>
      <c r="M31" s="3" t="s">
        <v>16</v>
      </c>
      <c r="N31" s="3"/>
    </row>
    <row r="32" spans="1:14" ht="52.7" customHeight="1">
      <c r="A32" s="3" t="s">
        <v>16</v>
      </c>
      <c r="B32" s="3" t="s">
        <v>208</v>
      </c>
      <c r="C32" s="3" t="s">
        <v>209</v>
      </c>
      <c r="D32" s="3" t="s">
        <v>210</v>
      </c>
      <c r="E32" s="3" t="s">
        <v>20</v>
      </c>
      <c r="F32" s="3" t="s">
        <v>211</v>
      </c>
      <c r="G32" s="3" t="s">
        <v>212</v>
      </c>
      <c r="H32" s="4" t="s">
        <v>23</v>
      </c>
      <c r="I32" s="3" t="s">
        <v>16</v>
      </c>
      <c r="J32" s="3" t="s">
        <v>213</v>
      </c>
      <c r="K32" s="3" t="s">
        <v>214</v>
      </c>
      <c r="L32" s="4" t="s">
        <v>23</v>
      </c>
      <c r="M32" s="3" t="s">
        <v>16</v>
      </c>
      <c r="N32" s="3"/>
    </row>
    <row r="33" spans="1:14" ht="52.5" customHeight="1">
      <c r="A33" s="3" t="s">
        <v>16</v>
      </c>
      <c r="B33" s="3" t="s">
        <v>215</v>
      </c>
      <c r="C33" s="3" t="s">
        <v>216</v>
      </c>
      <c r="D33" s="3" t="s">
        <v>217</v>
      </c>
      <c r="E33" s="3" t="s">
        <v>20</v>
      </c>
      <c r="F33" s="3" t="s">
        <v>218</v>
      </c>
      <c r="G33" s="3" t="s">
        <v>219</v>
      </c>
      <c r="H33" s="4" t="s">
        <v>23</v>
      </c>
      <c r="I33" s="3" t="s">
        <v>16</v>
      </c>
      <c r="J33" s="3" t="s">
        <v>220</v>
      </c>
      <c r="K33" s="3" t="s">
        <v>221</v>
      </c>
      <c r="L33" s="4" t="s">
        <v>23</v>
      </c>
      <c r="M33" s="3" t="s">
        <v>16</v>
      </c>
      <c r="N33" s="3"/>
    </row>
    <row r="34" spans="1:14" ht="52.7" customHeight="1">
      <c r="A34" s="3" t="s">
        <v>16</v>
      </c>
      <c r="B34" s="3" t="s">
        <v>222</v>
      </c>
      <c r="C34" s="3" t="s">
        <v>223</v>
      </c>
      <c r="D34" s="3" t="s">
        <v>224</v>
      </c>
      <c r="E34" s="3" t="s">
        <v>20</v>
      </c>
      <c r="F34" s="3" t="s">
        <v>225</v>
      </c>
      <c r="G34" s="3" t="s">
        <v>226</v>
      </c>
      <c r="H34" s="4" t="s">
        <v>23</v>
      </c>
      <c r="I34" s="3" t="s">
        <v>16</v>
      </c>
      <c r="J34" s="3" t="s">
        <v>227</v>
      </c>
      <c r="K34" s="3" t="s">
        <v>228</v>
      </c>
      <c r="L34" s="4" t="s">
        <v>23</v>
      </c>
      <c r="M34" s="3" t="s">
        <v>16</v>
      </c>
      <c r="N34" s="3"/>
    </row>
    <row r="35" spans="1:14" ht="52.7" customHeight="1">
      <c r="A35" s="3" t="s">
        <v>16</v>
      </c>
      <c r="B35" s="3" t="s">
        <v>229</v>
      </c>
      <c r="C35" s="3" t="s">
        <v>230</v>
      </c>
      <c r="D35" s="3" t="s">
        <v>231</v>
      </c>
      <c r="E35" s="3" t="s">
        <v>20</v>
      </c>
      <c r="F35" s="3" t="s">
        <v>232</v>
      </c>
      <c r="G35" s="3" t="s">
        <v>233</v>
      </c>
      <c r="H35" s="4" t="s">
        <v>23</v>
      </c>
      <c r="I35" s="3" t="s">
        <v>376</v>
      </c>
      <c r="J35" s="3" t="s">
        <v>234</v>
      </c>
      <c r="K35" s="3" t="s">
        <v>235</v>
      </c>
      <c r="L35" s="4" t="s">
        <v>23</v>
      </c>
      <c r="M35" s="3" t="s">
        <v>16</v>
      </c>
      <c r="N35" s="3"/>
    </row>
    <row r="36" spans="1:14" ht="66.75" customHeight="1">
      <c r="A36" s="3" t="s">
        <v>16</v>
      </c>
      <c r="B36" s="3" t="s">
        <v>236</v>
      </c>
      <c r="C36" s="3" t="s">
        <v>237</v>
      </c>
      <c r="D36" s="3" t="s">
        <v>238</v>
      </c>
      <c r="E36" s="3" t="s">
        <v>20</v>
      </c>
      <c r="F36" s="3" t="s">
        <v>239</v>
      </c>
      <c r="G36" s="3" t="s">
        <v>240</v>
      </c>
      <c r="H36" s="4" t="s">
        <v>23</v>
      </c>
      <c r="I36" s="3" t="s">
        <v>16</v>
      </c>
      <c r="J36" s="3" t="s">
        <v>241</v>
      </c>
      <c r="K36" s="3" t="s">
        <v>242</v>
      </c>
      <c r="L36" s="4" t="s">
        <v>23</v>
      </c>
      <c r="M36" s="3" t="s">
        <v>16</v>
      </c>
      <c r="N36" s="3"/>
    </row>
    <row r="37" spans="1:14" ht="79.5" customHeight="1">
      <c r="A37" s="3" t="s">
        <v>16</v>
      </c>
      <c r="B37" s="3" t="s">
        <v>243</v>
      </c>
      <c r="C37" s="3" t="s">
        <v>244</v>
      </c>
      <c r="D37" s="3" t="s">
        <v>245</v>
      </c>
      <c r="E37" s="3" t="s">
        <v>20</v>
      </c>
      <c r="F37" s="3" t="s">
        <v>246</v>
      </c>
      <c r="G37" s="3" t="s">
        <v>247</v>
      </c>
      <c r="H37" s="4" t="s">
        <v>23</v>
      </c>
      <c r="I37" s="3" t="s">
        <v>16</v>
      </c>
      <c r="J37" s="3" t="s">
        <v>248</v>
      </c>
      <c r="K37" s="3" t="s">
        <v>249</v>
      </c>
      <c r="L37" s="4" t="s">
        <v>23</v>
      </c>
      <c r="M37" s="3" t="s">
        <v>16</v>
      </c>
      <c r="N37" s="3"/>
    </row>
    <row r="38" spans="1:14" ht="73.5" customHeight="1">
      <c r="A38" s="3" t="s">
        <v>16</v>
      </c>
      <c r="B38" s="3" t="s">
        <v>250</v>
      </c>
      <c r="C38" s="3" t="s">
        <v>251</v>
      </c>
      <c r="D38" s="3" t="s">
        <v>252</v>
      </c>
      <c r="E38" s="3" t="s">
        <v>20</v>
      </c>
      <c r="F38" s="3" t="s">
        <v>253</v>
      </c>
      <c r="G38" s="3" t="s">
        <v>254</v>
      </c>
      <c r="H38" s="4" t="s">
        <v>23</v>
      </c>
      <c r="I38" s="3" t="s">
        <v>16</v>
      </c>
      <c r="J38" s="3" t="s">
        <v>255</v>
      </c>
      <c r="K38" s="3" t="s">
        <v>256</v>
      </c>
      <c r="L38" s="4" t="s">
        <v>23</v>
      </c>
      <c r="M38" s="3" t="s">
        <v>16</v>
      </c>
      <c r="N38" s="3"/>
    </row>
    <row r="39" spans="1:14" ht="92.45" customHeight="1">
      <c r="A39" s="3" t="s">
        <v>16</v>
      </c>
      <c r="B39" s="3" t="s">
        <v>257</v>
      </c>
      <c r="C39" s="3" t="s">
        <v>258</v>
      </c>
      <c r="D39" s="3" t="s">
        <v>259</v>
      </c>
      <c r="E39" s="3" t="s">
        <v>20</v>
      </c>
      <c r="F39" s="3" t="s">
        <v>260</v>
      </c>
      <c r="G39" s="3" t="s">
        <v>261</v>
      </c>
      <c r="H39" s="4" t="s">
        <v>23</v>
      </c>
      <c r="I39" s="3" t="s">
        <v>16</v>
      </c>
      <c r="J39" s="3" t="s">
        <v>262</v>
      </c>
      <c r="K39" s="3" t="s">
        <v>263</v>
      </c>
      <c r="L39" s="4" t="s">
        <v>23</v>
      </c>
      <c r="M39" s="3" t="s">
        <v>16</v>
      </c>
      <c r="N39" s="3"/>
    </row>
    <row r="40" spans="1:14" ht="47.25" customHeight="1">
      <c r="A40" s="3" t="s">
        <v>16</v>
      </c>
      <c r="B40" s="3" t="s">
        <v>264</v>
      </c>
      <c r="C40" s="3" t="s">
        <v>265</v>
      </c>
      <c r="D40" s="3" t="s">
        <v>576</v>
      </c>
      <c r="E40" s="3" t="s">
        <v>20</v>
      </c>
      <c r="F40" s="3" t="s">
        <v>266</v>
      </c>
      <c r="G40" s="3" t="s">
        <v>267</v>
      </c>
      <c r="H40" s="4" t="s">
        <v>23</v>
      </c>
      <c r="I40" s="3" t="s">
        <v>16</v>
      </c>
      <c r="J40" s="3" t="s">
        <v>268</v>
      </c>
      <c r="K40" s="3" t="s">
        <v>269</v>
      </c>
      <c r="L40" s="4" t="s">
        <v>23</v>
      </c>
      <c r="M40" s="3" t="s">
        <v>16</v>
      </c>
      <c r="N40" s="3"/>
    </row>
    <row r="41" spans="1:14" ht="80.25" customHeight="1">
      <c r="A41" s="3" t="s">
        <v>16</v>
      </c>
      <c r="B41" s="3" t="s">
        <v>270</v>
      </c>
      <c r="C41" s="3" t="s">
        <v>271</v>
      </c>
      <c r="D41" s="3" t="s">
        <v>272</v>
      </c>
      <c r="E41" s="3" t="s">
        <v>20</v>
      </c>
      <c r="F41" s="3" t="s">
        <v>273</v>
      </c>
      <c r="G41" s="3" t="s">
        <v>274</v>
      </c>
      <c r="H41" s="4" t="s">
        <v>23</v>
      </c>
      <c r="I41" s="3" t="s">
        <v>16</v>
      </c>
      <c r="J41" s="3" t="s">
        <v>275</v>
      </c>
      <c r="K41" s="3" t="s">
        <v>276</v>
      </c>
      <c r="L41" s="4" t="s">
        <v>23</v>
      </c>
      <c r="M41" s="3" t="s">
        <v>16</v>
      </c>
      <c r="N41" s="3"/>
    </row>
    <row r="42" spans="1:14" ht="98.25" customHeight="1">
      <c r="A42" s="3" t="s">
        <v>16</v>
      </c>
      <c r="B42" s="3" t="s">
        <v>277</v>
      </c>
      <c r="C42" s="3" t="s">
        <v>278</v>
      </c>
      <c r="D42" s="3" t="s">
        <v>279</v>
      </c>
      <c r="E42" s="3" t="s">
        <v>20</v>
      </c>
      <c r="F42" s="3" t="s">
        <v>280</v>
      </c>
      <c r="G42" s="3" t="s">
        <v>281</v>
      </c>
      <c r="H42" s="4" t="s">
        <v>23</v>
      </c>
      <c r="I42" s="3" t="s">
        <v>16</v>
      </c>
      <c r="J42" s="3" t="s">
        <v>282</v>
      </c>
      <c r="K42" s="3" t="s">
        <v>283</v>
      </c>
      <c r="L42" s="4" t="s">
        <v>23</v>
      </c>
      <c r="M42" s="3" t="s">
        <v>16</v>
      </c>
      <c r="N42" s="3"/>
    </row>
    <row r="43" spans="1:14" ht="86.25" customHeight="1">
      <c r="A43" s="3" t="s">
        <v>16</v>
      </c>
      <c r="B43" s="3" t="s">
        <v>284</v>
      </c>
      <c r="C43" s="3" t="s">
        <v>285</v>
      </c>
      <c r="D43" s="3" t="s">
        <v>286</v>
      </c>
      <c r="E43" s="3" t="s">
        <v>20</v>
      </c>
      <c r="F43" s="3" t="s">
        <v>287</v>
      </c>
      <c r="G43" s="3" t="s">
        <v>288</v>
      </c>
      <c r="H43" s="4" t="s">
        <v>23</v>
      </c>
      <c r="I43" s="3" t="s">
        <v>16</v>
      </c>
      <c r="J43" s="3" t="s">
        <v>289</v>
      </c>
      <c r="K43" s="3" t="s">
        <v>290</v>
      </c>
      <c r="L43" s="4" t="s">
        <v>23</v>
      </c>
      <c r="M43" s="3" t="s">
        <v>376</v>
      </c>
      <c r="N43" s="3"/>
    </row>
    <row r="44" spans="1:14" ht="189" customHeight="1">
      <c r="A44" s="3" t="s">
        <v>16</v>
      </c>
      <c r="B44" s="3" t="s">
        <v>291</v>
      </c>
      <c r="C44" s="3" t="s">
        <v>292</v>
      </c>
      <c r="D44" s="3" t="s">
        <v>293</v>
      </c>
      <c r="E44" s="3" t="s">
        <v>294</v>
      </c>
      <c r="F44" s="3" t="s">
        <v>295</v>
      </c>
      <c r="G44" s="3" t="s">
        <v>296</v>
      </c>
      <c r="H44" s="4" t="s">
        <v>23</v>
      </c>
      <c r="I44" s="3" t="s">
        <v>16</v>
      </c>
      <c r="J44" s="3" t="s">
        <v>297</v>
      </c>
      <c r="K44" s="3" t="s">
        <v>298</v>
      </c>
      <c r="L44" s="4" t="s">
        <v>23</v>
      </c>
      <c r="M44" s="3" t="s">
        <v>16</v>
      </c>
      <c r="N44" s="3"/>
    </row>
    <row r="45" spans="1:14" ht="130.5" customHeight="1">
      <c r="A45" s="3" t="s">
        <v>16</v>
      </c>
      <c r="B45" s="3" t="s">
        <v>299</v>
      </c>
      <c r="C45" s="3" t="s">
        <v>300</v>
      </c>
      <c r="D45" s="3" t="s">
        <v>301</v>
      </c>
      <c r="E45" s="3" t="s">
        <v>20</v>
      </c>
      <c r="F45" s="3" t="s">
        <v>302</v>
      </c>
      <c r="G45" s="3" t="s">
        <v>303</v>
      </c>
      <c r="H45" s="4" t="s">
        <v>23</v>
      </c>
      <c r="I45" s="3" t="s">
        <v>16</v>
      </c>
      <c r="J45" s="3" t="s">
        <v>304</v>
      </c>
      <c r="K45" s="3" t="s">
        <v>305</v>
      </c>
      <c r="L45" s="4" t="s">
        <v>23</v>
      </c>
      <c r="M45" s="3" t="s">
        <v>16</v>
      </c>
      <c r="N45" s="3"/>
    </row>
  </sheetData>
  <mergeCells count="2">
    <mergeCell ref="A2:N2"/>
    <mergeCell ref="A1:N1"/>
  </mergeCells>
  <dataValidations count="1">
    <dataValidation type="list" sqref="I4:I45 M4:M45" xr:uid="{00000000-0002-0000-0200-000000000000}">
      <formula1>"Yes,No"</formula1>
    </dataValidation>
  </dataValidation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showGridLines="0" topLeftCell="F1" workbookViewId="0">
      <selection activeCell="I6" sqref="I6"/>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374</v>
      </c>
      <c r="B1" s="10"/>
      <c r="C1" s="10"/>
      <c r="D1" s="10"/>
      <c r="E1" s="10"/>
      <c r="F1" s="10"/>
      <c r="G1" s="10"/>
      <c r="H1" s="10"/>
      <c r="I1" s="10"/>
      <c r="J1" s="10"/>
      <c r="K1" s="10"/>
      <c r="L1" s="10"/>
      <c r="M1" s="10"/>
      <c r="N1" s="10"/>
    </row>
    <row r="2" spans="1:14" ht="39.950000000000003" customHeight="1">
      <c r="A2" s="9" t="s">
        <v>375</v>
      </c>
      <c r="B2" s="10"/>
      <c r="C2" s="10"/>
      <c r="D2" s="10"/>
      <c r="E2" s="10"/>
      <c r="F2" s="10"/>
      <c r="G2" s="10"/>
      <c r="H2" s="10"/>
      <c r="I2" s="10"/>
      <c r="J2" s="10"/>
      <c r="K2" s="10"/>
      <c r="L2" s="10"/>
      <c r="M2" s="10"/>
      <c r="N2" s="10"/>
    </row>
    <row r="3" spans="1:14" ht="15" customHeight="1">
      <c r="A3" s="1" t="s">
        <v>2</v>
      </c>
      <c r="B3" s="1" t="s">
        <v>3</v>
      </c>
      <c r="C3" s="1" t="s">
        <v>4</v>
      </c>
      <c r="D3" s="1" t="s">
        <v>5</v>
      </c>
      <c r="E3" s="1" t="s">
        <v>6</v>
      </c>
      <c r="F3" s="1" t="s">
        <v>7</v>
      </c>
      <c r="G3" s="1" t="s">
        <v>8</v>
      </c>
      <c r="H3" s="1" t="s">
        <v>9</v>
      </c>
      <c r="I3" s="1" t="s">
        <v>10</v>
      </c>
      <c r="J3" s="1" t="s">
        <v>11</v>
      </c>
      <c r="K3" s="1" t="s">
        <v>12</v>
      </c>
      <c r="L3" s="1" t="s">
        <v>13</v>
      </c>
      <c r="M3" s="1" t="s">
        <v>14</v>
      </c>
      <c r="N3" s="1" t="s">
        <v>15</v>
      </c>
    </row>
    <row r="4" spans="1:14" ht="61.5" customHeight="1">
      <c r="A4" s="3" t="s">
        <v>376</v>
      </c>
      <c r="B4" s="3" t="s">
        <v>377</v>
      </c>
      <c r="C4" s="3" t="s">
        <v>378</v>
      </c>
      <c r="D4" s="3" t="s">
        <v>576</v>
      </c>
      <c r="E4" s="3" t="s">
        <v>379</v>
      </c>
      <c r="F4" s="3" t="s">
        <v>380</v>
      </c>
      <c r="G4" s="3" t="s">
        <v>381</v>
      </c>
      <c r="H4" s="4" t="s">
        <v>23</v>
      </c>
      <c r="I4" s="3" t="s">
        <v>16</v>
      </c>
      <c r="J4" s="3" t="s">
        <v>382</v>
      </c>
      <c r="K4" s="3" t="s">
        <v>383</v>
      </c>
      <c r="L4" s="4" t="s">
        <v>23</v>
      </c>
      <c r="M4" s="3" t="s">
        <v>16</v>
      </c>
      <c r="N4" s="3"/>
    </row>
    <row r="5" spans="1:14" ht="54.75" customHeight="1">
      <c r="A5" s="3" t="s">
        <v>376</v>
      </c>
      <c r="B5" s="3" t="s">
        <v>384</v>
      </c>
      <c r="C5" s="3" t="s">
        <v>385</v>
      </c>
      <c r="D5" s="3" t="s">
        <v>386</v>
      </c>
      <c r="E5" s="3" t="s">
        <v>387</v>
      </c>
      <c r="F5" s="3" t="s">
        <v>388</v>
      </c>
      <c r="G5" s="3" t="s">
        <v>389</v>
      </c>
      <c r="H5" s="4" t="s">
        <v>23</v>
      </c>
      <c r="I5" s="3" t="s">
        <v>16</v>
      </c>
      <c r="J5" s="3" t="s">
        <v>390</v>
      </c>
      <c r="K5" s="3" t="s">
        <v>391</v>
      </c>
      <c r="L5" s="4" t="s">
        <v>23</v>
      </c>
      <c r="M5" s="3" t="s">
        <v>16</v>
      </c>
      <c r="N5" s="3"/>
    </row>
    <row r="6" spans="1:14" ht="82.5" customHeight="1">
      <c r="A6" s="3" t="s">
        <v>376</v>
      </c>
      <c r="B6" s="3" t="s">
        <v>392</v>
      </c>
      <c r="C6" s="3" t="s">
        <v>393</v>
      </c>
      <c r="D6" s="3" t="s">
        <v>394</v>
      </c>
      <c r="E6" s="3" t="s">
        <v>379</v>
      </c>
      <c r="F6" s="3" t="s">
        <v>395</v>
      </c>
      <c r="G6" s="3" t="s">
        <v>396</v>
      </c>
      <c r="H6" s="4" t="s">
        <v>23</v>
      </c>
      <c r="I6" s="3" t="s">
        <v>16</v>
      </c>
      <c r="J6" s="3" t="s">
        <v>397</v>
      </c>
      <c r="K6" s="3" t="s">
        <v>398</v>
      </c>
      <c r="L6" s="4" t="s">
        <v>23</v>
      </c>
      <c r="M6" s="3" t="s">
        <v>16</v>
      </c>
      <c r="N6" s="3"/>
    </row>
  </sheetData>
  <mergeCells count="2">
    <mergeCell ref="A2:N2"/>
    <mergeCell ref="A1:N1"/>
  </mergeCells>
  <dataValidations count="1">
    <dataValidation type="list" sqref="M4:M6 I4:I6" xr:uid="{00000000-0002-0000-0300-000000000000}">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
  <sheetViews>
    <sheetView showGridLines="0" topLeftCell="D1" workbookViewId="0">
      <pane xSplit="2" ySplit="2" topLeftCell="G3" activePane="bottomRight" state="frozen"/>
      <selection activeCell="D1" sqref="D1"/>
      <selection pane="topRight" activeCell="F1" sqref="F1"/>
      <selection pane="bottomLeft" activeCell="D3" sqref="D3"/>
      <selection pane="bottomRight" activeCell="I12" sqref="I12"/>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399</v>
      </c>
      <c r="B1" s="10"/>
      <c r="C1" s="10"/>
      <c r="D1" s="10"/>
      <c r="E1" s="10"/>
      <c r="F1" s="10"/>
      <c r="G1" s="10"/>
      <c r="H1" s="10"/>
      <c r="I1" s="10"/>
      <c r="J1" s="10"/>
      <c r="K1" s="10"/>
      <c r="L1" s="10"/>
      <c r="M1" s="10"/>
      <c r="N1" s="10"/>
    </row>
    <row r="2" spans="1:14" ht="39.950000000000003" customHeight="1">
      <c r="A2" s="9" t="s">
        <v>400</v>
      </c>
      <c r="B2" s="10"/>
      <c r="C2" s="10"/>
      <c r="D2" s="10"/>
      <c r="E2" s="10"/>
      <c r="F2" s="10"/>
      <c r="G2" s="10"/>
      <c r="H2" s="10"/>
      <c r="I2" s="10"/>
      <c r="J2" s="10"/>
      <c r="K2" s="10"/>
      <c r="L2" s="10"/>
      <c r="M2" s="10"/>
      <c r="N2" s="10"/>
    </row>
    <row r="3" spans="1:14" ht="15" customHeight="1">
      <c r="A3" s="1" t="s">
        <v>2</v>
      </c>
      <c r="B3" s="1" t="s">
        <v>3</v>
      </c>
      <c r="C3" s="1" t="s">
        <v>4</v>
      </c>
      <c r="D3" s="1" t="s">
        <v>5</v>
      </c>
      <c r="E3" s="1" t="s">
        <v>6</v>
      </c>
      <c r="F3" s="1" t="s">
        <v>7</v>
      </c>
      <c r="G3" s="1" t="s">
        <v>8</v>
      </c>
      <c r="H3" s="1" t="s">
        <v>9</v>
      </c>
      <c r="I3" s="1" t="s">
        <v>10</v>
      </c>
      <c r="J3" s="1" t="s">
        <v>11</v>
      </c>
      <c r="K3" s="1" t="s">
        <v>12</v>
      </c>
      <c r="L3" s="1" t="s">
        <v>13</v>
      </c>
      <c r="M3" s="1" t="s">
        <v>14</v>
      </c>
      <c r="N3" s="1" t="s">
        <v>15</v>
      </c>
    </row>
    <row r="4" spans="1:14" ht="26.45" customHeight="1">
      <c r="A4" s="3" t="s">
        <v>16</v>
      </c>
      <c r="B4" s="3" t="s">
        <v>401</v>
      </c>
      <c r="C4" s="3" t="s">
        <v>402</v>
      </c>
      <c r="D4" s="3" t="s">
        <v>403</v>
      </c>
      <c r="E4" s="3" t="s">
        <v>404</v>
      </c>
      <c r="F4" s="3" t="s">
        <v>403</v>
      </c>
      <c r="G4" s="3" t="s">
        <v>405</v>
      </c>
      <c r="H4" s="4" t="s">
        <v>23</v>
      </c>
      <c r="I4" s="3" t="s">
        <v>16</v>
      </c>
      <c r="J4" s="3" t="s">
        <v>403</v>
      </c>
      <c r="K4" s="3" t="s">
        <v>406</v>
      </c>
      <c r="L4" s="4" t="s">
        <v>23</v>
      </c>
      <c r="M4" s="3" t="s">
        <v>16</v>
      </c>
      <c r="N4" s="3"/>
    </row>
    <row r="5" spans="1:14" ht="26.45" customHeight="1">
      <c r="A5" s="3" t="s">
        <v>16</v>
      </c>
      <c r="B5" s="3" t="s">
        <v>407</v>
      </c>
      <c r="C5" s="3" t="s">
        <v>408</v>
      </c>
      <c r="D5" s="3" t="s">
        <v>409</v>
      </c>
      <c r="E5" s="3" t="s">
        <v>410</v>
      </c>
      <c r="F5" s="3" t="s">
        <v>411</v>
      </c>
      <c r="G5" s="3" t="s">
        <v>412</v>
      </c>
      <c r="H5" s="4" t="s">
        <v>23</v>
      </c>
      <c r="I5" s="3" t="s">
        <v>16</v>
      </c>
      <c r="J5" s="3" t="s">
        <v>411</v>
      </c>
      <c r="K5" s="3" t="s">
        <v>413</v>
      </c>
      <c r="L5" s="4" t="s">
        <v>23</v>
      </c>
      <c r="M5" s="3" t="s">
        <v>16</v>
      </c>
      <c r="N5" s="3"/>
    </row>
    <row r="6" spans="1:14" ht="57" customHeight="1">
      <c r="A6" s="3" t="s">
        <v>16</v>
      </c>
      <c r="B6" s="3" t="s">
        <v>414</v>
      </c>
      <c r="C6" s="3" t="s">
        <v>415</v>
      </c>
      <c r="D6" s="3" t="s">
        <v>416</v>
      </c>
      <c r="E6" s="3" t="s">
        <v>417</v>
      </c>
      <c r="F6" s="3" t="s">
        <v>418</v>
      </c>
      <c r="G6" s="3" t="s">
        <v>419</v>
      </c>
      <c r="H6" s="4" t="s">
        <v>23</v>
      </c>
      <c r="I6" s="3" t="s">
        <v>16</v>
      </c>
      <c r="J6" s="3" t="s">
        <v>420</v>
      </c>
      <c r="K6" s="3" t="s">
        <v>421</v>
      </c>
      <c r="L6" s="4" t="s">
        <v>23</v>
      </c>
      <c r="M6" s="3" t="s">
        <v>16</v>
      </c>
      <c r="N6" s="3"/>
    </row>
    <row r="7" spans="1:14" ht="26.45" customHeight="1">
      <c r="A7" s="3" t="s">
        <v>16</v>
      </c>
      <c r="B7" s="3" t="s">
        <v>422</v>
      </c>
      <c r="C7" s="3" t="s">
        <v>423</v>
      </c>
      <c r="D7" s="3" t="s">
        <v>424</v>
      </c>
      <c r="E7" s="3" t="s">
        <v>425</v>
      </c>
      <c r="F7" s="3" t="s">
        <v>424</v>
      </c>
      <c r="G7" s="3" t="s">
        <v>426</v>
      </c>
      <c r="H7" s="4" t="s">
        <v>23</v>
      </c>
      <c r="I7" s="3" t="s">
        <v>16</v>
      </c>
      <c r="J7" s="3" t="s">
        <v>424</v>
      </c>
      <c r="K7" s="3" t="s">
        <v>427</v>
      </c>
      <c r="L7" s="4" t="s">
        <v>23</v>
      </c>
      <c r="M7" s="3" t="s">
        <v>16</v>
      </c>
      <c r="N7" s="3"/>
    </row>
    <row r="8" spans="1:14" ht="78" customHeight="1">
      <c r="A8" s="3" t="s">
        <v>16</v>
      </c>
      <c r="B8" s="3" t="s">
        <v>428</v>
      </c>
      <c r="C8" s="3" t="s">
        <v>429</v>
      </c>
      <c r="D8" s="3" t="s">
        <v>430</v>
      </c>
      <c r="E8" s="3" t="s">
        <v>431</v>
      </c>
      <c r="F8" s="3" t="s">
        <v>432</v>
      </c>
      <c r="G8" s="3" t="s">
        <v>433</v>
      </c>
      <c r="H8" s="4" t="s">
        <v>23</v>
      </c>
      <c r="I8" s="3" t="s">
        <v>16</v>
      </c>
      <c r="J8" s="3" t="s">
        <v>434</v>
      </c>
      <c r="K8" s="3" t="s">
        <v>435</v>
      </c>
      <c r="L8" s="4" t="s">
        <v>23</v>
      </c>
      <c r="M8" s="3" t="s">
        <v>16</v>
      </c>
      <c r="N8" s="3"/>
    </row>
    <row r="9" spans="1:14" ht="75.75" customHeight="1">
      <c r="A9" s="3" t="s">
        <v>16</v>
      </c>
      <c r="B9" s="3" t="s">
        <v>436</v>
      </c>
      <c r="C9" s="3" t="s">
        <v>437</v>
      </c>
      <c r="D9" s="3" t="s">
        <v>438</v>
      </c>
      <c r="E9" s="3" t="s">
        <v>439</v>
      </c>
      <c r="F9" s="3" t="s">
        <v>440</v>
      </c>
      <c r="G9" s="3" t="s">
        <v>441</v>
      </c>
      <c r="H9" s="4" t="s">
        <v>23</v>
      </c>
      <c r="I9" s="3" t="s">
        <v>16</v>
      </c>
      <c r="J9" s="3" t="s">
        <v>442</v>
      </c>
      <c r="K9" s="3" t="s">
        <v>443</v>
      </c>
      <c r="L9" s="4" t="s">
        <v>23</v>
      </c>
      <c r="M9" s="3" t="s">
        <v>16</v>
      </c>
      <c r="N9" s="3"/>
    </row>
    <row r="10" spans="1:14" ht="69" customHeight="1">
      <c r="A10" s="3" t="s">
        <v>16</v>
      </c>
      <c r="B10" s="3" t="s">
        <v>444</v>
      </c>
      <c r="C10" s="3" t="s">
        <v>445</v>
      </c>
      <c r="D10" s="3" t="s">
        <v>446</v>
      </c>
      <c r="E10" s="3" t="s">
        <v>447</v>
      </c>
      <c r="F10" s="3" t="s">
        <v>448</v>
      </c>
      <c r="G10" s="3" t="s">
        <v>449</v>
      </c>
      <c r="H10" s="4" t="s">
        <v>23</v>
      </c>
      <c r="I10" s="3" t="s">
        <v>16</v>
      </c>
      <c r="J10" s="3" t="s">
        <v>450</v>
      </c>
      <c r="K10" s="3" t="s">
        <v>451</v>
      </c>
      <c r="L10" s="4" t="s">
        <v>23</v>
      </c>
      <c r="M10" s="3" t="s">
        <v>16</v>
      </c>
      <c r="N10" s="3"/>
    </row>
    <row r="11" spans="1:14" ht="67.5" customHeight="1">
      <c r="A11" s="3" t="s">
        <v>16</v>
      </c>
      <c r="B11" s="3" t="s">
        <v>452</v>
      </c>
      <c r="C11" s="3" t="s">
        <v>453</v>
      </c>
      <c r="D11" s="3" t="s">
        <v>175</v>
      </c>
      <c r="E11" s="3" t="s">
        <v>454</v>
      </c>
      <c r="F11" s="3" t="s">
        <v>455</v>
      </c>
      <c r="G11" s="3" t="s">
        <v>456</v>
      </c>
      <c r="H11" s="4" t="s">
        <v>23</v>
      </c>
      <c r="I11" s="3" t="s">
        <v>16</v>
      </c>
      <c r="J11" s="3" t="s">
        <v>457</v>
      </c>
      <c r="K11" s="3" t="s">
        <v>458</v>
      </c>
      <c r="L11" s="4" t="s">
        <v>23</v>
      </c>
      <c r="M11" s="3" t="s">
        <v>16</v>
      </c>
      <c r="N11" s="3"/>
    </row>
    <row r="12" spans="1:14" ht="60" customHeight="1">
      <c r="A12" s="3" t="s">
        <v>16</v>
      </c>
      <c r="B12" s="3" t="s">
        <v>459</v>
      </c>
      <c r="C12" s="3" t="s">
        <v>460</v>
      </c>
      <c r="D12" s="3" t="s">
        <v>461</v>
      </c>
      <c r="E12" s="3" t="s">
        <v>462</v>
      </c>
      <c r="F12" s="3" t="s">
        <v>463</v>
      </c>
      <c r="G12" s="3" t="s">
        <v>464</v>
      </c>
      <c r="H12" s="4" t="s">
        <v>23</v>
      </c>
      <c r="I12" s="3" t="s">
        <v>16</v>
      </c>
      <c r="J12" s="3" t="s">
        <v>465</v>
      </c>
      <c r="K12" s="3" t="s">
        <v>466</v>
      </c>
      <c r="L12" s="4" t="s">
        <v>23</v>
      </c>
      <c r="M12" s="3" t="s">
        <v>16</v>
      </c>
      <c r="N12" s="3"/>
    </row>
  </sheetData>
  <mergeCells count="2">
    <mergeCell ref="A2:N2"/>
    <mergeCell ref="A1:N1"/>
  </mergeCells>
  <dataValidations count="1">
    <dataValidation type="list" sqref="I4:I12 M4:M12" xr:uid="{00000000-0002-0000-0400-000000000000}">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
  <sheetViews>
    <sheetView showGridLines="0" topLeftCell="C1" workbookViewId="0">
      <pane xSplit="2" ySplit="2" topLeftCell="G4" activePane="bottomRight" state="frozen"/>
      <selection activeCell="C1" sqref="C1"/>
      <selection pane="topRight" activeCell="E1" sqref="E1"/>
      <selection pane="bottomLeft" activeCell="C3" sqref="C3"/>
      <selection pane="bottomRight" activeCell="M10" sqref="M10"/>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467</v>
      </c>
      <c r="B1" s="10"/>
      <c r="C1" s="10"/>
      <c r="D1" s="10"/>
      <c r="E1" s="10"/>
      <c r="F1" s="10"/>
      <c r="G1" s="10"/>
      <c r="H1" s="10"/>
      <c r="I1" s="10"/>
      <c r="J1" s="10"/>
      <c r="K1" s="10"/>
      <c r="L1" s="10"/>
      <c r="M1" s="10"/>
      <c r="N1" s="10"/>
    </row>
    <row r="2" spans="1:14" ht="39.950000000000003" customHeight="1">
      <c r="A2" s="9" t="s">
        <v>468</v>
      </c>
      <c r="B2" s="10"/>
      <c r="C2" s="10"/>
      <c r="D2" s="10"/>
      <c r="E2" s="10"/>
      <c r="F2" s="10"/>
      <c r="G2" s="10"/>
      <c r="H2" s="10"/>
      <c r="I2" s="10"/>
      <c r="J2" s="10"/>
      <c r="K2" s="10"/>
      <c r="L2" s="10"/>
      <c r="M2" s="10"/>
      <c r="N2" s="10"/>
    </row>
    <row r="3" spans="1:14" ht="15" customHeight="1">
      <c r="A3" s="1" t="s">
        <v>2</v>
      </c>
      <c r="B3" s="1" t="s">
        <v>3</v>
      </c>
      <c r="C3" s="1" t="s">
        <v>4</v>
      </c>
      <c r="D3" s="1" t="s">
        <v>5</v>
      </c>
      <c r="E3" s="1" t="s">
        <v>6</v>
      </c>
      <c r="F3" s="1" t="s">
        <v>7</v>
      </c>
      <c r="G3" s="1" t="s">
        <v>8</v>
      </c>
      <c r="H3" s="1" t="s">
        <v>9</v>
      </c>
      <c r="I3" s="1" t="s">
        <v>10</v>
      </c>
      <c r="J3" s="1" t="s">
        <v>11</v>
      </c>
      <c r="K3" s="1" t="s">
        <v>12</v>
      </c>
      <c r="L3" s="1" t="s">
        <v>13</v>
      </c>
      <c r="M3" s="1" t="s">
        <v>14</v>
      </c>
      <c r="N3" s="1" t="s">
        <v>15</v>
      </c>
    </row>
    <row r="4" spans="1:14" ht="45" customHeight="1">
      <c r="A4" s="3" t="s">
        <v>16</v>
      </c>
      <c r="B4" s="3" t="s">
        <v>469</v>
      </c>
      <c r="C4" s="3" t="s">
        <v>470</v>
      </c>
      <c r="D4" s="3" t="s">
        <v>471</v>
      </c>
      <c r="E4" s="3" t="s">
        <v>472</v>
      </c>
      <c r="F4" s="3" t="s">
        <v>473</v>
      </c>
      <c r="G4" s="3" t="s">
        <v>474</v>
      </c>
      <c r="H4" s="4" t="s">
        <v>475</v>
      </c>
      <c r="I4" s="3" t="s">
        <v>16</v>
      </c>
      <c r="J4" s="3" t="s">
        <v>476</v>
      </c>
      <c r="K4" s="3" t="s">
        <v>477</v>
      </c>
      <c r="L4" s="4" t="s">
        <v>475</v>
      </c>
      <c r="M4" s="3" t="s">
        <v>16</v>
      </c>
      <c r="N4" s="3"/>
    </row>
    <row r="5" spans="1:14" ht="52.5" customHeight="1">
      <c r="A5" s="3" t="s">
        <v>16</v>
      </c>
      <c r="B5" s="3" t="s">
        <v>478</v>
      </c>
      <c r="C5" s="3" t="s">
        <v>479</v>
      </c>
      <c r="D5" s="3" t="s">
        <v>480</v>
      </c>
      <c r="E5" s="3" t="s">
        <v>481</v>
      </c>
      <c r="F5" s="3" t="s">
        <v>482</v>
      </c>
      <c r="G5" s="3" t="s">
        <v>483</v>
      </c>
      <c r="H5" s="4" t="s">
        <v>475</v>
      </c>
      <c r="I5" s="3" t="s">
        <v>16</v>
      </c>
      <c r="J5" s="3" t="s">
        <v>482</v>
      </c>
      <c r="K5" s="3" t="s">
        <v>484</v>
      </c>
      <c r="L5" s="4" t="s">
        <v>475</v>
      </c>
      <c r="M5" s="3" t="s">
        <v>16</v>
      </c>
      <c r="N5" s="3"/>
    </row>
    <row r="6" spans="1:14" ht="66.75" customHeight="1">
      <c r="A6" s="3" t="s">
        <v>16</v>
      </c>
      <c r="B6" s="3" t="s">
        <v>485</v>
      </c>
      <c r="C6" s="3" t="s">
        <v>486</v>
      </c>
      <c r="D6" s="3" t="s">
        <v>487</v>
      </c>
      <c r="E6" s="3" t="s">
        <v>488</v>
      </c>
      <c r="F6" s="3" t="s">
        <v>489</v>
      </c>
      <c r="G6" s="3" t="s">
        <v>490</v>
      </c>
      <c r="H6" s="4" t="s">
        <v>475</v>
      </c>
      <c r="I6" s="3" t="s">
        <v>16</v>
      </c>
      <c r="J6" s="3" t="s">
        <v>489</v>
      </c>
      <c r="K6" s="3" t="s">
        <v>491</v>
      </c>
      <c r="L6" s="4" t="s">
        <v>475</v>
      </c>
      <c r="M6" s="3" t="s">
        <v>16</v>
      </c>
      <c r="N6" s="3"/>
    </row>
    <row r="7" spans="1:14" ht="57" customHeight="1">
      <c r="A7" s="3" t="s">
        <v>16</v>
      </c>
      <c r="B7" s="3" t="s">
        <v>492</v>
      </c>
      <c r="C7" s="3" t="s">
        <v>493</v>
      </c>
      <c r="D7" s="3" t="s">
        <v>494</v>
      </c>
      <c r="E7" s="3" t="s">
        <v>495</v>
      </c>
      <c r="F7" s="3" t="s">
        <v>496</v>
      </c>
      <c r="G7" s="3" t="s">
        <v>497</v>
      </c>
      <c r="H7" s="4" t="s">
        <v>475</v>
      </c>
      <c r="I7" s="3" t="s">
        <v>16</v>
      </c>
      <c r="J7" s="3" t="s">
        <v>496</v>
      </c>
      <c r="K7" s="3" t="s">
        <v>498</v>
      </c>
      <c r="L7" s="4" t="s">
        <v>475</v>
      </c>
      <c r="M7" s="3" t="s">
        <v>16</v>
      </c>
      <c r="N7" s="3"/>
    </row>
    <row r="8" spans="1:14" ht="61.5" customHeight="1">
      <c r="A8" s="3" t="s">
        <v>16</v>
      </c>
      <c r="B8" s="3" t="s">
        <v>499</v>
      </c>
      <c r="C8" s="3" t="s">
        <v>500</v>
      </c>
      <c r="D8" s="3" t="s">
        <v>501</v>
      </c>
      <c r="E8" s="3" t="s">
        <v>502</v>
      </c>
      <c r="F8" s="3" t="s">
        <v>503</v>
      </c>
      <c r="G8" s="3" t="s">
        <v>504</v>
      </c>
      <c r="H8" s="4" t="s">
        <v>475</v>
      </c>
      <c r="I8" s="3" t="s">
        <v>16</v>
      </c>
      <c r="J8" s="3" t="s">
        <v>503</v>
      </c>
      <c r="K8" s="3" t="s">
        <v>505</v>
      </c>
      <c r="L8" s="4" t="s">
        <v>475</v>
      </c>
      <c r="M8" s="3" t="s">
        <v>16</v>
      </c>
      <c r="N8" s="3"/>
    </row>
    <row r="9" spans="1:14" ht="94.5" customHeight="1">
      <c r="A9" s="3" t="s">
        <v>16</v>
      </c>
      <c r="B9" s="3" t="s">
        <v>506</v>
      </c>
      <c r="C9" s="3" t="s">
        <v>507</v>
      </c>
      <c r="D9" s="3" t="s">
        <v>508</v>
      </c>
      <c r="E9" s="3" t="s">
        <v>509</v>
      </c>
      <c r="F9" s="3" t="s">
        <v>510</v>
      </c>
      <c r="G9" s="3" t="s">
        <v>511</v>
      </c>
      <c r="H9" s="4" t="s">
        <v>475</v>
      </c>
      <c r="I9" s="3" t="s">
        <v>16</v>
      </c>
      <c r="J9" s="3" t="s">
        <v>510</v>
      </c>
      <c r="K9" s="3" t="s">
        <v>512</v>
      </c>
      <c r="L9" s="4" t="s">
        <v>475</v>
      </c>
      <c r="M9" s="3" t="s">
        <v>16</v>
      </c>
      <c r="N9" s="3"/>
    </row>
    <row r="10" spans="1:14" ht="56.25" customHeight="1">
      <c r="A10" s="3" t="s">
        <v>16</v>
      </c>
      <c r="B10" s="3" t="s">
        <v>513</v>
      </c>
      <c r="C10" s="3" t="s">
        <v>514</v>
      </c>
      <c r="D10" s="3" t="s">
        <v>515</v>
      </c>
      <c r="E10" s="3" t="s">
        <v>516</v>
      </c>
      <c r="F10" s="3" t="s">
        <v>517</v>
      </c>
      <c r="G10" s="3" t="s">
        <v>518</v>
      </c>
      <c r="H10" s="4" t="s">
        <v>475</v>
      </c>
      <c r="I10" s="3" t="s">
        <v>16</v>
      </c>
      <c r="J10" s="3" t="s">
        <v>517</v>
      </c>
      <c r="K10" s="3" t="s">
        <v>519</v>
      </c>
      <c r="L10" s="4" t="s">
        <v>475</v>
      </c>
      <c r="M10" s="3" t="s">
        <v>16</v>
      </c>
      <c r="N10" s="3"/>
    </row>
    <row r="11" spans="1:14" ht="61.5" customHeight="1">
      <c r="A11" s="3" t="s">
        <v>16</v>
      </c>
      <c r="B11" s="3" t="s">
        <v>520</v>
      </c>
      <c r="C11" s="3" t="s">
        <v>521</v>
      </c>
      <c r="D11" s="3" t="s">
        <v>522</v>
      </c>
      <c r="E11" s="3" t="s">
        <v>523</v>
      </c>
      <c r="F11" s="3" t="s">
        <v>524</v>
      </c>
      <c r="G11" s="3" t="s">
        <v>525</v>
      </c>
      <c r="H11" s="4" t="s">
        <v>475</v>
      </c>
      <c r="I11" s="3" t="s">
        <v>16</v>
      </c>
      <c r="J11" s="3" t="s">
        <v>524</v>
      </c>
      <c r="K11" s="3" t="s">
        <v>525</v>
      </c>
      <c r="L11" s="4" t="s">
        <v>475</v>
      </c>
      <c r="M11" s="3" t="s">
        <v>16</v>
      </c>
      <c r="N11" s="3"/>
    </row>
  </sheetData>
  <mergeCells count="2">
    <mergeCell ref="A2:N2"/>
    <mergeCell ref="A1:N1"/>
  </mergeCells>
  <dataValidations count="1">
    <dataValidation type="list" sqref="I4:I11 M4:M11" xr:uid="{00000000-0002-0000-0500-0000000000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7"/>
  <sheetViews>
    <sheetView showGridLines="0" topLeftCell="C1" workbookViewId="0">
      <pane xSplit="2" ySplit="2" topLeftCell="F3" activePane="bottomRight" state="frozen"/>
      <selection activeCell="C1" sqref="C1"/>
      <selection pane="topRight" activeCell="E1" sqref="E1"/>
      <selection pane="bottomLeft" activeCell="C3" sqref="C3"/>
      <selection pane="bottomRight" activeCell="M7" sqref="M7"/>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526</v>
      </c>
      <c r="B1" s="10"/>
      <c r="C1" s="10"/>
      <c r="D1" s="10"/>
      <c r="E1" s="10"/>
      <c r="F1" s="10"/>
      <c r="G1" s="10"/>
      <c r="H1" s="10"/>
      <c r="I1" s="10"/>
      <c r="J1" s="10"/>
      <c r="K1" s="10"/>
      <c r="L1" s="10"/>
      <c r="M1" s="10"/>
      <c r="N1" s="10"/>
    </row>
    <row r="2" spans="1:14" ht="39.950000000000003" customHeight="1">
      <c r="A2" s="9" t="s">
        <v>527</v>
      </c>
      <c r="B2" s="10"/>
      <c r="C2" s="10"/>
      <c r="D2" s="10"/>
      <c r="E2" s="10"/>
      <c r="F2" s="10"/>
      <c r="G2" s="10"/>
      <c r="H2" s="10"/>
      <c r="I2" s="10"/>
      <c r="J2" s="10"/>
      <c r="K2" s="10"/>
      <c r="L2" s="10"/>
      <c r="M2" s="10"/>
      <c r="N2" s="10"/>
    </row>
    <row r="3" spans="1:14" ht="15" customHeight="1">
      <c r="A3" s="1" t="s">
        <v>2</v>
      </c>
      <c r="B3" s="1" t="s">
        <v>3</v>
      </c>
      <c r="C3" s="1" t="s">
        <v>4</v>
      </c>
      <c r="D3" s="1" t="s">
        <v>5</v>
      </c>
      <c r="E3" s="1" t="s">
        <v>6</v>
      </c>
      <c r="F3" s="1" t="s">
        <v>7</v>
      </c>
      <c r="G3" s="1" t="s">
        <v>8</v>
      </c>
      <c r="H3" s="1" t="s">
        <v>9</v>
      </c>
      <c r="I3" s="1" t="s">
        <v>10</v>
      </c>
      <c r="J3" s="1" t="s">
        <v>11</v>
      </c>
      <c r="K3" s="1" t="s">
        <v>12</v>
      </c>
      <c r="L3" s="1" t="s">
        <v>13</v>
      </c>
      <c r="M3" s="1" t="s">
        <v>14</v>
      </c>
      <c r="N3" s="1" t="s">
        <v>15</v>
      </c>
    </row>
    <row r="4" spans="1:14" ht="65.25" customHeight="1">
      <c r="A4" s="3" t="s">
        <v>16</v>
      </c>
      <c r="B4" s="3" t="s">
        <v>528</v>
      </c>
      <c r="C4" s="3" t="s">
        <v>529</v>
      </c>
      <c r="D4" s="3" t="s">
        <v>530</v>
      </c>
      <c r="E4" s="3" t="s">
        <v>531</v>
      </c>
      <c r="F4" s="3" t="s">
        <v>532</v>
      </c>
      <c r="G4" s="3" t="s">
        <v>533</v>
      </c>
      <c r="H4" s="4" t="s">
        <v>475</v>
      </c>
      <c r="I4" s="3" t="s">
        <v>16</v>
      </c>
      <c r="J4" s="3" t="s">
        <v>532</v>
      </c>
      <c r="K4" s="3" t="s">
        <v>534</v>
      </c>
      <c r="L4" s="4" t="s">
        <v>475</v>
      </c>
      <c r="M4" s="3" t="s">
        <v>16</v>
      </c>
      <c r="N4" s="3"/>
    </row>
    <row r="5" spans="1:14" ht="60.75" customHeight="1">
      <c r="A5" s="3" t="s">
        <v>16</v>
      </c>
      <c r="B5" s="3" t="s">
        <v>535</v>
      </c>
      <c r="C5" s="3" t="s">
        <v>536</v>
      </c>
      <c r="D5" s="3" t="s">
        <v>537</v>
      </c>
      <c r="E5" s="3" t="s">
        <v>538</v>
      </c>
      <c r="F5" s="3" t="s">
        <v>539</v>
      </c>
      <c r="G5" s="3" t="s">
        <v>540</v>
      </c>
      <c r="H5" s="4" t="s">
        <v>475</v>
      </c>
      <c r="I5" s="3" t="s">
        <v>16</v>
      </c>
      <c r="J5" s="3" t="s">
        <v>539</v>
      </c>
      <c r="K5" s="3" t="s">
        <v>541</v>
      </c>
      <c r="L5" s="4" t="s">
        <v>475</v>
      </c>
      <c r="M5" s="3" t="s">
        <v>16</v>
      </c>
      <c r="N5" s="3"/>
    </row>
    <row r="6" spans="1:14" ht="62.25" customHeight="1">
      <c r="A6" s="3" t="s">
        <v>16</v>
      </c>
      <c r="B6" s="3" t="s">
        <v>542</v>
      </c>
      <c r="C6" s="3" t="s">
        <v>543</v>
      </c>
      <c r="D6" s="3" t="s">
        <v>544</v>
      </c>
      <c r="E6" s="3" t="s">
        <v>545</v>
      </c>
      <c r="F6" s="3" t="s">
        <v>546</v>
      </c>
      <c r="G6" s="3" t="s">
        <v>547</v>
      </c>
      <c r="H6" s="4" t="s">
        <v>475</v>
      </c>
      <c r="I6" s="3" t="s">
        <v>16</v>
      </c>
      <c r="J6" s="3" t="s">
        <v>548</v>
      </c>
      <c r="K6" s="3" t="s">
        <v>549</v>
      </c>
      <c r="L6" s="4" t="s">
        <v>475</v>
      </c>
      <c r="M6" s="3" t="s">
        <v>16</v>
      </c>
      <c r="N6" s="3"/>
    </row>
    <row r="7" spans="1:14" ht="124.5" customHeight="1">
      <c r="A7" s="3" t="s">
        <v>16</v>
      </c>
      <c r="B7" s="3" t="s">
        <v>550</v>
      </c>
      <c r="C7" s="3" t="s">
        <v>551</v>
      </c>
      <c r="D7" s="3" t="s">
        <v>552</v>
      </c>
      <c r="E7" s="3" t="s">
        <v>553</v>
      </c>
      <c r="F7" s="3" t="s">
        <v>554</v>
      </c>
      <c r="G7" s="3" t="s">
        <v>555</v>
      </c>
      <c r="H7" s="4" t="s">
        <v>23</v>
      </c>
      <c r="I7" s="3" t="s">
        <v>16</v>
      </c>
      <c r="J7" s="3" t="s">
        <v>556</v>
      </c>
      <c r="K7" s="3" t="s">
        <v>557</v>
      </c>
      <c r="L7" s="4" t="s">
        <v>23</v>
      </c>
      <c r="M7" s="3" t="s">
        <v>16</v>
      </c>
      <c r="N7" s="3"/>
    </row>
  </sheetData>
  <mergeCells count="2">
    <mergeCell ref="A2:N2"/>
    <mergeCell ref="A1:N1"/>
  </mergeCells>
  <dataValidations count="1">
    <dataValidation type="list" sqref="I4:I7 M4:M7" xr:uid="{00000000-0002-0000-0600-000000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
  <sheetViews>
    <sheetView showGridLines="0" tabSelected="1" workbookViewId="0">
      <selection sqref="A1:N1"/>
    </sheetView>
  </sheetViews>
  <sheetFormatPr defaultRowHeight="14.25"/>
  <cols>
    <col min="1" max="1" width="30" customWidth="1"/>
    <col min="2" max="2" width="18" customWidth="1"/>
    <col min="3" max="3" width="56" customWidth="1"/>
    <col min="4" max="4" width="18" customWidth="1"/>
    <col min="5" max="5" width="56" customWidth="1"/>
    <col min="6" max="6" width="25" customWidth="1"/>
    <col min="7" max="7" width="12" customWidth="1"/>
    <col min="8" max="8" width="48" customWidth="1"/>
  </cols>
  <sheetData>
    <row r="1" spans="1:14" ht="27.95" customHeight="1">
      <c r="A1" s="11" t="s">
        <v>558</v>
      </c>
      <c r="B1" s="10"/>
      <c r="C1" s="10"/>
      <c r="D1" s="10"/>
      <c r="E1" s="10"/>
      <c r="F1" s="10"/>
      <c r="G1" s="10"/>
      <c r="H1" s="10"/>
      <c r="I1" s="10"/>
      <c r="J1" s="10"/>
      <c r="K1" s="10"/>
      <c r="L1" s="10"/>
      <c r="M1" s="10"/>
      <c r="N1" s="10"/>
    </row>
    <row r="2" spans="1:14" ht="39.950000000000003" customHeight="1">
      <c r="A2" s="9" t="s">
        <v>559</v>
      </c>
      <c r="B2" s="10"/>
      <c r="C2" s="10"/>
      <c r="D2" s="10"/>
      <c r="E2" s="10"/>
      <c r="F2" s="10"/>
      <c r="G2" s="10"/>
      <c r="H2" s="10"/>
      <c r="I2" s="10"/>
      <c r="J2" s="10"/>
      <c r="K2" s="10"/>
      <c r="L2" s="10"/>
      <c r="M2" s="10"/>
      <c r="N2" s="10"/>
    </row>
    <row r="3" spans="1:14" ht="15" customHeight="1">
      <c r="A3" s="1" t="s">
        <v>360</v>
      </c>
      <c r="B3" s="1" t="s">
        <v>560</v>
      </c>
      <c r="C3" s="1" t="s">
        <v>8</v>
      </c>
      <c r="D3" s="1" t="s">
        <v>561</v>
      </c>
      <c r="E3" s="1" t="s">
        <v>12</v>
      </c>
      <c r="F3" s="1" t="s">
        <v>562</v>
      </c>
      <c r="G3" s="1" t="s">
        <v>2</v>
      </c>
      <c r="H3" s="1" t="s">
        <v>349</v>
      </c>
    </row>
    <row r="4" spans="1:14" ht="75.95" customHeight="1">
      <c r="A4" s="3" t="s">
        <v>563</v>
      </c>
      <c r="B4" s="3" t="s">
        <v>16</v>
      </c>
      <c r="C4" s="3" t="s">
        <v>564</v>
      </c>
      <c r="D4" s="3" t="s">
        <v>16</v>
      </c>
      <c r="E4" s="3" t="s">
        <v>565</v>
      </c>
      <c r="F4" s="3" t="s">
        <v>566</v>
      </c>
      <c r="G4" s="4" t="s">
        <v>376</v>
      </c>
      <c r="H4" s="3" t="s">
        <v>567</v>
      </c>
    </row>
    <row r="5" spans="1:14" ht="75.95" customHeight="1">
      <c r="A5" s="3" t="s">
        <v>366</v>
      </c>
      <c r="B5" s="3" t="s">
        <v>568</v>
      </c>
      <c r="C5" s="3" t="s">
        <v>564</v>
      </c>
      <c r="D5" s="3" t="s">
        <v>568</v>
      </c>
      <c r="E5" s="3" t="s">
        <v>565</v>
      </c>
      <c r="F5" s="3" t="s">
        <v>367</v>
      </c>
      <c r="G5" s="4" t="s">
        <v>376</v>
      </c>
      <c r="H5" s="3" t="s">
        <v>569</v>
      </c>
    </row>
    <row r="6" spans="1:14" ht="75.95" customHeight="1">
      <c r="A6" s="3" t="s">
        <v>570</v>
      </c>
      <c r="B6" s="3" t="s">
        <v>16</v>
      </c>
      <c r="C6" s="3" t="s">
        <v>564</v>
      </c>
      <c r="D6" s="3" t="s">
        <v>16</v>
      </c>
      <c r="E6" s="3" t="s">
        <v>565</v>
      </c>
      <c r="F6" s="3" t="s">
        <v>571</v>
      </c>
      <c r="G6" s="4" t="s">
        <v>376</v>
      </c>
      <c r="H6" s="3" t="s">
        <v>572</v>
      </c>
    </row>
    <row r="7" spans="1:14" ht="75.95" customHeight="1">
      <c r="A7" s="3" t="s">
        <v>369</v>
      </c>
      <c r="B7" s="3" t="s">
        <v>573</v>
      </c>
      <c r="C7" s="3" t="s">
        <v>564</v>
      </c>
      <c r="D7" s="3" t="s">
        <v>573</v>
      </c>
      <c r="E7" s="3" t="s">
        <v>565</v>
      </c>
      <c r="F7" s="3" t="s">
        <v>574</v>
      </c>
      <c r="G7" s="4" t="s">
        <v>376</v>
      </c>
      <c r="H7" s="3" t="s">
        <v>575</v>
      </c>
    </row>
  </sheetData>
  <mergeCells count="2">
    <mergeCell ref="A2:N2"/>
    <mergeCell ref="A1:N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Summary</vt:lpstr>
      <vt:lpstr>EQ1 Requirements</vt:lpstr>
      <vt:lpstr>EQ1 Diagnostics</vt:lpstr>
      <vt:lpstr>EQ2 Configuration</vt:lpstr>
      <vt:lpstr>EQ3 Package</vt:lpstr>
      <vt:lpstr>EQ4 Execution</vt:lpstr>
      <vt:lpstr>PoC Recovery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 Umair Ali</dc:creator>
  <cp:lastModifiedBy>Khan Umair Ali</cp:lastModifiedBy>
  <dcterms:created xsi:type="dcterms:W3CDTF">2026-07-30T22:57:03Z</dcterms:created>
  <dcterms:modified xsi:type="dcterms:W3CDTF">2026-08-01T15:20:50Z</dcterms:modified>
</cp:coreProperties>
</file>