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02317\Downloads\Wizard evaluation\UC02_purchase_order_evaluation\templates\"/>
    </mc:Choice>
  </mc:AlternateContent>
  <xr:revisionPtr revIDLastSave="0" documentId="13_ncr:20001_{15567E91-775E-4DFE-9ED4-EFCA9F6E5783}" xr6:coauthVersionLast="47" xr6:coauthVersionMax="47" xr10:uidLastSave="{00000000-0000-0000-0000-000000000000}"/>
  <bookViews>
    <workbookView xWindow="-120" yWindow="-120" windowWidth="29040" windowHeight="17520" activeTab="2" xr2:uid="{00000000-000D-0000-FFFF-FFFF00000000}"/>
  </bookViews>
  <sheets>
    <sheet name="Instructions" sheetId="1" r:id="rId1"/>
    <sheet name="Summary" sheetId="2" r:id="rId2"/>
    <sheet name="EQ1 Requirements" sheetId="3" r:id="rId3"/>
    <sheet name="EQ1 Diagnostics" sheetId="4" r:id="rId4"/>
    <sheet name="EQ2 Configuration" sheetId="5" r:id="rId5"/>
    <sheet name="EQ3 Package" sheetId="6" r:id="rId6"/>
    <sheet name="EQ4 Execution" sheetId="7" r:id="rId7"/>
    <sheet name="PoC Recovery" sheetId="8" r:id="rId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B11" i="2"/>
  <c r="F8" i="2"/>
  <c r="D8" i="2"/>
  <c r="C8" i="2"/>
  <c r="E8" i="2" s="1"/>
  <c r="F7" i="2"/>
  <c r="D7" i="2"/>
  <c r="C7" i="2"/>
  <c r="E7" i="2" s="1"/>
  <c r="F6" i="2"/>
  <c r="D6" i="2"/>
  <c r="C6" i="2"/>
  <c r="E6" i="2" s="1"/>
  <c r="F5" i="2"/>
  <c r="D5" i="2"/>
  <c r="C5" i="2"/>
  <c r="E5" i="2" s="1"/>
</calcChain>
</file>

<file path=xl/sharedStrings.xml><?xml version="1.0" encoding="utf-8"?>
<sst xmlns="http://schemas.openxmlformats.org/spreadsheetml/2006/main" count="508" uniqueCount="330">
  <si>
    <t>UC02 evaluation review workbook</t>
  </si>
  <si>
    <t>The workbook displays oracle and wizard evidence side by side. Automated aids never replace the evaluator's Yes/No verdict.</t>
  </si>
  <si>
    <t>Step</t>
  </si>
  <si>
    <t>Action</t>
  </si>
  <si>
    <t>1</t>
  </si>
  <si>
    <t>For each run, select its generated_package folder; then send initial_prompt.txt and use scripted_answers.md. No path or provenance metadata needs to be entered. At every routine confirmation, answer Yes and proceed without changes.</t>
  </si>
  <si>
    <t>2</t>
  </si>
  <si>
    <t>Save each conversation and complete generated package under runs/run_01 and runs/run_02.</t>
  </si>
  <si>
    <t>3</t>
  </si>
  <si>
    <t>Run run_poc_evaluation.py with attempt 0. This original, unmodified execution is the only execution used for EQ4.</t>
  </si>
  <si>
    <t>4</t>
  </si>
  <si>
    <t>If attempt 0 fails, return its execution evidence to the wizard and run refinement attempts 1-3 in order. Stop at first success.</t>
  </si>
  <si>
    <t>5</t>
  </si>
  <si>
    <t>If all three refinements fail, poc_recovery.json records N/A. Refined success never overwrites EQ4.</t>
  </si>
  <si>
    <t>6</t>
  </si>
  <si>
    <t>Run collect_evidence.py --run all. Use --use-llm only to locate/align evidence; the LLM does not decide verdicts.</t>
  </si>
  <si>
    <t>7</t>
  </si>
  <si>
    <t>Rebuild this workbook with build_workbook.py so the Run 1 and Run 2 value/evidence columns are populated. No npm installation is required.</t>
  </si>
  <si>
    <t>8</t>
  </si>
  <si>
    <t>For every scored row, compare the oracle value with the generated value and inspect the adjacent evidence.</t>
  </si>
  <si>
    <t>9</t>
  </si>
  <si>
    <t>Enter Yes only when the generated result satisfies the accepted meaning. Enter No when it does not or when it is missing.</t>
  </si>
  <si>
    <t>10</t>
  </si>
  <si>
    <t>For missing requirements, keep NOT FOUND and its search evidence; do not remove the row. It remains in the denominator.</t>
  </si>
  <si>
    <t>11</t>
  </si>
  <si>
    <t>The Auto aid column reports deterministic pass/fail/needs_review evidence. It is not the final verdict.</t>
  </si>
  <si>
    <t>12</t>
  </si>
  <si>
    <t>Run score_workbook.py after every scored row in both runs has a Yes or No verdict.</t>
  </si>
  <si>
    <t>Evidence rule</t>
  </si>
  <si>
    <t>Every verdict must be supported by an adjacent JSON path/value, conversation line, file check, command/exit code, log excerpt, or output comparison.</t>
  </si>
  <si>
    <t>EQ1</t>
  </si>
  <si>
    <t>Requirement capture recall = pooled Yes verdicts / pooled scored requirement checks across two runs.</t>
  </si>
  <si>
    <t>EQ2</t>
  </si>
  <si>
    <t>Configuration constraint satisfaction = pooled Yes verdicts / pooled configuration checks across two runs.</t>
  </si>
  <si>
    <t>UC02 evaluation summary</t>
  </si>
  <si>
    <t>Scores appear only after all required human verdicts are entered. EQ3 and EQ4 use an all-mandatory-checks pass rule per run.</t>
  </si>
  <si>
    <t>EQ</t>
  </si>
  <si>
    <t>Metric</t>
  </si>
  <si>
    <t>Run 1</t>
  </si>
  <si>
    <t>Run 2</t>
  </si>
  <si>
    <t>Combined score</t>
  </si>
  <si>
    <t>Completed verdicts</t>
  </si>
  <si>
    <t>Required verdicts</t>
  </si>
  <si>
    <t>Interpretation</t>
  </si>
  <si>
    <t>Requirement capture recall</t>
  </si>
  <si>
    <t>Pooled row-level recall</t>
  </si>
  <si>
    <t>Configuration constraint satisfaction</t>
  </si>
  <si>
    <t>Pooled constraint satisfaction</t>
  </si>
  <si>
    <t>EQ3</t>
  </si>
  <si>
    <t>Valid solution package rate</t>
  </si>
  <si>
    <t>Run passes only if all EQ3 rows are Yes</t>
  </si>
  <si>
    <t>EQ4</t>
  </si>
  <si>
    <t>PoC execution success rate</t>
  </si>
  <si>
    <t>Run passes only if all EQ4 rows are Yes</t>
  </si>
  <si>
    <t>Diagnostic</t>
  </si>
  <si>
    <t>Reporting</t>
  </si>
  <si>
    <t>Not included in headline scores</t>
  </si>
  <si>
    <t>Unsupported assumptions</t>
  </si>
  <si>
    <t>Yes/No diagnostic verdict counts</t>
  </si>
  <si>
    <t>Review provider/model, retention, SLA/scale commitments</t>
  </si>
  <si>
    <t>Refinement attempts to success</t>
  </si>
  <si>
    <t>0, 1, 2, 3, or N/A</t>
  </si>
  <si>
    <t>Original EQ4 is unchanged</t>
  </si>
  <si>
    <t>Recovery status</t>
  </si>
  <si>
    <t>Initially successful, recovered, pending, or unsuccessful</t>
  </si>
  <si>
    <t>Maximum three refinement attempts</t>
  </si>
  <si>
    <t>Note</t>
  </si>
  <si>
    <t>Blank verdicts mean the evaluation is incomplete, not zero performance.</t>
  </si>
  <si>
    <t>EQ1 Requirements</t>
  </si>
  <si>
    <t>Requirement capture recall. Review semantically equivalent values; an omitted oracle requirement remains a row and receives No.</t>
  </si>
  <si>
    <t>Scored?</t>
  </si>
  <si>
    <t>Check ID</t>
  </si>
  <si>
    <t>Oracle parameter</t>
  </si>
  <si>
    <t>Oracle expected value</t>
  </si>
  <si>
    <t>Oracle evidence/source</t>
  </si>
  <si>
    <t>Run 1 generated value</t>
  </si>
  <si>
    <t>Run 1 evidence</t>
  </si>
  <si>
    <t>Run 1 auto aid</t>
  </si>
  <si>
    <t>Run 1 verdict</t>
  </si>
  <si>
    <t>Run 2 generated value</t>
  </si>
  <si>
    <t>Run 2 evidence</t>
  </si>
  <si>
    <t>Run 2 auto aid</t>
  </si>
  <si>
    <t>Run 2 verdict</t>
  </si>
  <si>
    <t>Evaluator notes</t>
  </si>
  <si>
    <t>Yes</t>
  </si>
  <si>
    <t>EQ1-R01</t>
  </si>
  <si>
    <t>Primary user</t>
  </si>
  <si>
    <t>Order-processing employee</t>
  </si>
  <si>
    <t>initial_prompt.txt; scripted_answers.json</t>
  </si>
  <si>
    <t>EQ1-R02</t>
  </si>
  <si>
    <t>Current process</t>
  </si>
  <si>
    <t>Employees manually inspect customer purchase orders and enter header and line-item data into ERP.</t>
  </si>
  <si>
    <t>EQ1-R03</t>
  </si>
  <si>
    <t>Business problem</t>
  </si>
  <si>
    <t>Manual entry is slow and can introduce transcription or omission errors.</t>
  </si>
  <si>
    <t>EQ1-R04</t>
  </si>
  <si>
    <t>Human reviewer</t>
  </si>
  <si>
    <t>Procurement or order-processing reviewer</t>
  </si>
  <si>
    <t>EQ1-R05</t>
  </si>
  <si>
    <t>Expected value</t>
  </si>
  <si>
    <t>Faster and more consistent ERP data preparation with fewer manual errors.</t>
  </si>
  <si>
    <t>EQ1-R06</t>
  </si>
  <si>
    <t>Primary input</t>
  </si>
  <si>
    <t>Customer purchase orders as PDF or scanned PDF email attachments.</t>
  </si>
  <si>
    <t>EQ1-R07</t>
  </si>
  <si>
    <t>Document-layout complexity</t>
  </si>
  <si>
    <t>Complex multi-page tables, merged or hierarchical headers, notes in table areas, and rows split across pages.</t>
  </si>
  <si>
    <t>EQ1-R08</t>
  </si>
  <si>
    <t>Document language and identifiers</t>
  </si>
  <si>
    <t>English document text with alphanumeric identifiers, dates, dimensions, quantities, and units that must be preserved.</t>
  </si>
  <si>
    <t>EQ1-R09</t>
  </si>
  <si>
    <t>Target output</t>
  </si>
  <si>
    <t>ERP-compatible structured purchase-order record in JSON.</t>
  </si>
  <si>
    <t>EQ1-R10</t>
  </si>
  <si>
    <t>Header field: purchase-order number</t>
  </si>
  <si>
    <t>purchase_order_number; string; required</t>
  </si>
  <si>
    <t>EQ1-R11</t>
  </si>
  <si>
    <t>Header field: delivery date</t>
  </si>
  <si>
    <t>delivery_date; string; required; DD/MM/YYYY</t>
  </si>
  <si>
    <t>EQ1-R12</t>
  </si>
  <si>
    <t>Header field: delivery address</t>
  </si>
  <si>
    <t>delivery_address; string; required</t>
  </si>
  <si>
    <t>EQ1-R13</t>
  </si>
  <si>
    <t>Header field: vendor number</t>
  </si>
  <si>
    <t>vendor_number; string; required</t>
  </si>
  <si>
    <t>EQ1-R14</t>
  </si>
  <si>
    <t>Line-item collection</t>
  </si>
  <si>
    <t>line_items; required list with one object per purchase-order item</t>
  </si>
  <si>
    <t>EQ1-R15</t>
  </si>
  <si>
    <t>Line-item field: item number</t>
  </si>
  <si>
    <t>item_number; string; required; preserve leading zeros</t>
  </si>
  <si>
    <t>EQ1-R16</t>
  </si>
  <si>
    <t>Line-item field: article code</t>
  </si>
  <si>
    <t>article_code; string; required; preserve case and punctuation</t>
  </si>
  <si>
    <t>EQ1-R17</t>
  </si>
  <si>
    <t>Line-item field: dimensions</t>
  </si>
  <si>
    <t>dimensions; string; required; retain unit</t>
  </si>
  <si>
    <t>EQ1-R18</t>
  </si>
  <si>
    <t>Line-item field: product form</t>
  </si>
  <si>
    <t>product_form; required; Flat, round, or rectangular bar</t>
  </si>
  <si>
    <t>EQ1-R19</t>
  </si>
  <si>
    <t>Line-item field: material grade</t>
  </si>
  <si>
    <t>material_grade; string; required</t>
  </si>
  <si>
    <t>EQ1-R20</t>
  </si>
  <si>
    <t>Optional technical line-item fields</t>
  </si>
  <si>
    <t>standard_designation, cut_length, temper_or_condition, hardness_hv, min_bend_radius, delivery_length_note, applicable_standard, and special_flags</t>
  </si>
  <si>
    <t>EQ1-R21</t>
  </si>
  <si>
    <t>Line-item field: quantity</t>
  </si>
  <si>
    <t>quantity; string; required; retain unit</t>
  </si>
  <si>
    <t>EQ1-R22</t>
  </si>
  <si>
    <t>Missing-value policy</t>
  </si>
  <si>
    <t>Leave missing optional values null; never invent a value.</t>
  </si>
  <si>
    <t>EQ1-R23</t>
  </si>
  <si>
    <t>Uncertainty handling</t>
  </si>
  <si>
    <t>Flag missing or uncertain required values for human review.</t>
  </si>
  <si>
    <t>EQ1-R24</t>
  </si>
  <si>
    <t>Review evidence</t>
  </si>
  <si>
    <t>Reviewer receives the structured record, field-level confidence or uncertainty information, and original purchase-order PDF.</t>
  </si>
  <si>
    <t>EQ1-R25</t>
  </si>
  <si>
    <t>Review gate</t>
  </si>
  <si>
    <t>Human review follows extraction and precedes ERP transfer.</t>
  </si>
  <si>
    <t>EQ1-R26</t>
  </si>
  <si>
    <t>Review outcomes</t>
  </si>
  <si>
    <t>EQ1-R27</t>
  </si>
  <si>
    <t>Integration scope</t>
  </si>
  <si>
    <t>Production target is ERP; PoC saves approved JSON and does not implement a live ERP API or database write.</t>
  </si>
  <si>
    <t>EQ1-R28</t>
  </si>
  <si>
    <t>Data classification</t>
  </si>
  <si>
    <t>Internal commercial purchase-order information with customer or supplier identifiers; fixture contains no personal data.</t>
  </si>
  <si>
    <t>EQ1-R29</t>
  </si>
  <si>
    <t>External model API policy</t>
  </si>
  <si>
    <t>Allowed; local-only processing is not required.</t>
  </si>
  <si>
    <t>EQ1-R30</t>
  </si>
  <si>
    <t>Input-document retention</t>
  </si>
  <si>
    <t>PoC must not create a retained duplicate after processing; original remains in the source document system.</t>
  </si>
  <si>
    <t>EQ1-R31</t>
  </si>
  <si>
    <t>Retained evidence</t>
  </si>
  <si>
    <t>Approved JSON and review decision may be retained; no exact retention period.</t>
  </si>
  <si>
    <t>EQ1-R32</t>
  </si>
  <si>
    <t>PoC interface</t>
  </si>
  <si>
    <t>Command-line interface accepting a PDF path and saving JSON.</t>
  </si>
  <si>
    <t>EQ1-R33</t>
  </si>
  <si>
    <t>Stakeholder and party scope</t>
  </si>
  <si>
    <t>Customer is the external source of the purchase order; internal order-processing employee and reviewer are the required PoC participants.</t>
  </si>
  <si>
    <t>EQ1-R34</t>
  </si>
  <si>
    <t>Business and PoC success criteria</t>
  </si>
  <si>
    <t>Faster, less error-prone, reviewer-verifiable ERP preparation plus successful execution over the supplied fixture; no numerical improvement threshold.</t>
  </si>
  <si>
    <t>EQ1-R35</t>
  </si>
  <si>
    <t>Principal risks</t>
  </si>
  <si>
    <t>Layout loss, cross-page row errors, merged items, altered codes or leading zeros, dropped units, invented values, and transfer without approval.</t>
  </si>
  <si>
    <t>EQ1-R36</t>
  </si>
  <si>
    <t>Domain vocabulary and exact identifiers</t>
  </si>
  <si>
    <t>Four-digit item numbers, case-sensitive article codes, vendor numbers, material grades, standards, dates, dimensions, quantities, and units; no separate glossary.</t>
  </si>
  <si>
    <t>EQ1-R37</t>
  </si>
  <si>
    <t>Model and provider preference</t>
  </si>
  <si>
    <t>Provider and model remain configurable; no exact provider, model, temperature, or reasoning effort is user-specified.</t>
  </si>
  <si>
    <t>EQ1-R38</t>
  </si>
  <si>
    <t>Required output formats</t>
  </si>
  <si>
    <t>Final machine-readable JSON record plus original document and confidence/uncertainty review evidence; no formatted PDF, HTML, or DOCX report.</t>
  </si>
  <si>
    <t>EQ1-R39</t>
  </si>
  <si>
    <t>Target schema structure, types, and formats</t>
  </si>
  <si>
    <t>PurchaseOrderERPRecord uses parent_with_nested_list; required headers and line-item strings/list are enforced; dates use DD/MM/YYYY; product_form uses its controlled values; optional numeric/text fields may be null.</t>
  </si>
  <si>
    <t>EQ1-R40</t>
  </si>
  <si>
    <t>Confidence and output validation</t>
  </si>
  <si>
    <t>Field-level confidence score 0-1 and short reason are required when supported; required keys and item count must match; identifiers and units are exact; values are source-grounded.</t>
  </si>
  <si>
    <t>EQ1-R41</t>
  </si>
  <si>
    <t>EQ1-R42</t>
  </si>
  <si>
    <t>Security, access, audit, and evaluation scope</t>
  </si>
  <si>
    <t>External APIs allowed; no retained input duplicate; approved JSON and decision may be retained; production authentication, RBAC, ERP credentials, and full audit logging are outside scope; fixture acceptance requires successful execution, JSON parsing, three-item preservation, and no unsupported values.</t>
  </si>
  <si>
    <t>EQ1 Diagnostics</t>
  </si>
  <si>
    <t>Unscored transparency diagnostic for unsupported commitments. Evidence is still mandatory.</t>
  </si>
  <si>
    <t>No</t>
  </si>
  <si>
    <t>EQ1-D01</t>
  </si>
  <si>
    <t>Unsupported provider/model commitment</t>
  </si>
  <si>
    <t>Provider and model must remain configurable; no exact provider, model, temperature, or reasoning effort was supplied.</t>
  </si>
  <si>
    <t>scripted_answers.json#SA08</t>
  </si>
  <si>
    <t>EQ1-D02</t>
  </si>
  <si>
    <t>Unsupported retention period</t>
  </si>
  <si>
    <t>No exact retention period was supplied.</t>
  </si>
  <si>
    <t>scripted_answers.json#SA06</t>
  </si>
  <si>
    <t>EQ1-D03</t>
  </si>
  <si>
    <t>Unsupported SLA, volume, budget, or deployment commitment</t>
  </si>
  <si>
    <t>No SLA, throughput, volume, budget, or deployment topology was supplied.</t>
  </si>
  <si>
    <t>EQ2 Configuration</t>
  </si>
  <si>
    <t>GAIK component constraints for complex-layout purchase orders, including VisionExtractor verification and the human review gate.</t>
  </si>
  <si>
    <t>EQ2-C01</t>
  </si>
  <si>
    <t>Knowledge-process classification</t>
  </si>
  <si>
    <t>knowledge_capture</t>
  </si>
  <si>
    <t>GAIK registry; initial_prompt.txt</t>
  </si>
  <si>
    <t>EQ2-C02</t>
  </si>
  <si>
    <t>Complex-layout component selection</t>
  </si>
  <si>
    <t>VisionExtractor (id: vision_extractor)</t>
  </si>
  <si>
    <t>GAIK registry known limitations and best_for; SA02</t>
  </si>
  <si>
    <t>EQ2-C03</t>
  </si>
  <si>
    <t>Layout-aware PDF/image processing</t>
  </si>
  <si>
    <t>VisionExtractor processes the original PDF/image content directly; no text-only parser is relied on for the scored fixture.</t>
  </si>
  <si>
    <t>GAIK registry; SA02</t>
  </si>
  <si>
    <t>EQ2-C04</t>
  </si>
  <si>
    <t>Verification option</t>
  </si>
  <si>
    <t>include_verification = true</t>
  </si>
  <si>
    <t>GAIK registry; SA04</t>
  </si>
  <si>
    <t>EQ2-C05</t>
  </si>
  <si>
    <t>Structured extraction task and schema</t>
  </si>
  <si>
    <t>VisionExtractor has a task and schema/requirements assets defining PurchaseOrderERPRecord and its nested line items.</t>
  </si>
  <si>
    <t>GAIK registry required_parameters; SA03; SA11</t>
  </si>
  <si>
    <t>EQ2-C06</t>
  </si>
  <si>
    <t>No redundant executable extraction pipeline</t>
  </si>
  <si>
    <t>The PoC invokes VisionExtractor once and does not also execute DocumentsToStructuredData or a separate MultimodalParser-to-Extractor pipeline over the same input.</t>
  </si>
  <si>
    <t>GAIK registry; scenario design</t>
  </si>
  <si>
    <t>EQ2-C07</t>
  </si>
  <si>
    <t>Review placement</t>
  </si>
  <si>
    <t>Human review follows structured extraction and precedes ERP transfer.</t>
  </si>
  <si>
    <t>SA05</t>
  </si>
  <si>
    <t>EQ2-C08</t>
  </si>
  <si>
    <t>Review inputs</t>
  </si>
  <si>
    <t>SA04; SA05</t>
  </si>
  <si>
    <t>EQ2-C09</t>
  </si>
  <si>
    <t>PoC output behavior</t>
  </si>
  <si>
    <t>CLI accepts a PDF and saves JSON; live ERP API/database integration is not required.</t>
  </si>
  <si>
    <t>SA05; SA07</t>
  </si>
  <si>
    <t>EQ3 Package</t>
  </si>
  <si>
    <t>A run is a valid solution package only when every mandatory EQ3 check receives Yes.</t>
  </si>
  <si>
    <t>EQ3-P01</t>
  </si>
  <si>
    <t>Blueprint presence and JSON parsing</t>
  </si>
  <si>
    <t>generated_package/use_case.blueprint.json exists, is non-empty, and parses as JSON.</t>
  </si>
  <si>
    <t>file path; size; JSON parser result</t>
  </si>
  <si>
    <t>EQ3-P02</t>
  </si>
  <si>
    <t>Official blueprint validation</t>
  </si>
  <si>
    <t>The GAIK Solution Wizard validator returns exit code 0 with no blocking errors.</t>
  </si>
  <si>
    <t>validator command; exit code; validator output excerpt</t>
  </si>
  <si>
    <t>EQ3-P03</t>
  </si>
  <si>
    <t>Artifact-flow consistency</t>
  </si>
  <si>
    <t>Step inputs/outputs reference declared artifacts; generated artifacts have valid producers; dependencies are resolvable.</t>
  </si>
  <si>
    <t>blueprint steps, artifacts, dependencies, and producer mapping</t>
  </si>
  <si>
    <t>EQ3-P04</t>
  </si>
  <si>
    <t>Mermaid workflow</t>
  </si>
  <si>
    <t>workflow.mmd exists, is non-empty, and contains the workflow step labels or identifiers.</t>
  </si>
  <si>
    <t>file path; size; workflow-step coverage</t>
  </si>
  <si>
    <t>EQ3-P05</t>
  </si>
  <si>
    <t>BPMN workflow and traceability</t>
  </si>
  <si>
    <t>workflow.bpmn is well-formed XML and its mapping or element identifiers cover the blueprint workflow.</t>
  </si>
  <si>
    <t>XML parser result; blueprint-to-BPMN mapping coverage</t>
  </si>
  <si>
    <t>EQ3-P06</t>
  </si>
  <si>
    <t>PoC scaffold completeness</t>
  </si>
  <si>
    <t>poc/ contains an executable entrypoint, dependency declaration, configuration/example environment, document-extraction prompt, and nested output schema or schema-generation assets.</t>
  </si>
  <si>
    <t>PoC file manifest by required category</t>
  </si>
  <si>
    <t>EQ3-P07</t>
  </si>
  <si>
    <t>Documentation completeness</t>
  </si>
  <si>
    <t>docs/ contains at least one non-empty use-case-specific document and the PoC contains usage instructions.</t>
  </si>
  <si>
    <t>non-empty documentation files and PoC README</t>
  </si>
  <si>
    <t>EQ3-P08</t>
  </si>
  <si>
    <t>Requirement-to-component traceability</t>
  </si>
  <si>
    <t>The blueprint traceability data connects the VisionExtractor decision and other selected assets to stated requirements.</t>
  </si>
  <si>
    <t>traceability entries and selected GAIK assets</t>
  </si>
  <si>
    <t>EQ4 Execution</t>
  </si>
  <si>
    <t>A run is a successful PoC only when every mandatory EQ4 check for the original, unmodified PDF-to-ERP PoC receives Yes.</t>
  </si>
  <si>
    <t>EQ4-X01</t>
  </si>
  <si>
    <t>PoC setup/build</t>
  </si>
  <si>
    <t>For the original unmodified PoC, the declared setup or import command completes with exit code 0.</t>
  </si>
  <si>
    <t>setup command; exit code; stdout/stderr</t>
  </si>
  <si>
    <t>EQ4-X02</t>
  </si>
  <si>
    <t>End-to-end execution</t>
  </si>
  <si>
    <t>The original unmodified generated PoC processes purchase_order_complex.pdf and exits with code 0.</t>
  </si>
  <si>
    <t>run command; fixture hash; exit code; stdout/stderr</t>
  </si>
  <si>
    <t>EQ4-X03</t>
  </si>
  <si>
    <t>Machine-readable output</t>
  </si>
  <si>
    <t>The original unmodified PoC generates a new non-empty JSON ERP record that parses successfully.</t>
  </si>
  <si>
    <t>output path; size; JSON parser result</t>
  </si>
  <si>
    <t>EQ4-X04</t>
  </si>
  <si>
    <t>Fixture acceptance</t>
  </si>
  <si>
    <t>The original unmodified PoC output preserves the expected header facts and all three line items in expected_erp_record.json, including the cross-page item, exact identifiers and units, and no unsupported values.</t>
  </si>
  <si>
    <t>expected ERP record; generated output; semantic field and item comparison</t>
  </si>
  <si>
    <t>PoC recovery diagnostic</t>
  </si>
  <si>
    <t>Unscored diagnostic. EQ4 remains based on the original unmodified PoC; recovery permits at most three wizard refinement attempts.</t>
  </si>
  <si>
    <t>Run 1 value</t>
  </si>
  <si>
    <t>Run 2 value</t>
  </si>
  <si>
    <t>Protocol value</t>
  </si>
  <si>
    <t>Original execution successful</t>
  </si>
  <si>
    <t>Yes or No</t>
  </si>
  <si>
    <t>The original execution remains the EQ4 evidence source.</t>
  </si>
  <si>
    <t>0 means original success; N/A means never successful after three refinements.</t>
  </si>
  <si>
    <t>Final execution successful</t>
  </si>
  <si>
    <t>Yes, No, or blank</t>
  </si>
  <si>
    <t>Shows whether recovery ultimately produced an executable PoC.</t>
  </si>
  <si>
    <t>Protocol-controlled status</t>
  </si>
  <si>
    <t>Stop after first success or after refinement attempt 3.</t>
  </si>
  <si>
    <t>The reviewer can approve the record or return it with comments. When returned, the employee corrects the extracted record or uploads a corrected purchase order and resubmits it. The extraction and review cycle repeats until approval.</t>
  </si>
  <si>
    <t>Employee interaction and business-process detail</t>
  </si>
  <si>
    <t>Order-processing employees use a web application to upload one or more purchase-order PDFs. The system extracts a structured record for each purchase order and provides the original document, extracted values, and confidence or uncertainty information for review. The employee or reviewer can correct and approve the record. The application provides an ERP-compatible downloadable JSON file for each approved purchase order. Only approved data may proceed to ERP.</t>
  </si>
  <si>
    <t>scripted_answers.json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</si>
</sst>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font>
      <sz val="11"/>
      <name val="Carlito"/>
    </font>
    <font>
      <b/>
      <sz val="16"/>
      <color rgb="FFFFFFFF"/>
      <name val="Carlito"/>
    </font>
    <font>
      <i/>
      <sz val="10"/>
      <color rgb="FF595959"/>
      <name val="Carlito"/>
    </font>
    <font>
      <b/>
      <sz val="11"/>
      <color rgb="FF17365D"/>
      <name val="Carlito"/>
    </font>
  </fonts>
  <fills count="7">
    <fill>
      <patternFill patternType="none"/>
    </fill>
    <fill>
      <patternFill patternType="gray125"/>
    </fill>
    <fill>
      <patternFill patternType="solid">
        <fgColor rgb="FF17365D"/>
      </patternFill>
    </fill>
    <fill>
      <patternFill patternType="solid">
        <fgColor rgb="FFEEF5FB"/>
      </patternFill>
    </fill>
    <fill>
      <patternFill patternType="solid">
        <fgColor rgb="FFD9EAF7"/>
      </patternFill>
    </fill>
    <fill>
      <patternFill patternType="solid">
        <fgColor rgb="FFE7E6E6"/>
      </patternFill>
    </fill>
    <fill>
      <patternFill patternType="solid">
        <fgColor rgb="FFFFF2CC"/>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1">
    <xf numFmtId="0" fontId="0" fillId="0" borderId="0" xfId="0"/>
    <xf numFmtId="0" fontId="3" fillId="4" borderId="1" xfId="0" applyFont="1" applyFill="1" applyBorder="1" applyAlignment="1">
      <alignment vertical="center" wrapText="1"/>
    </xf>
    <xf numFmtId="0" fontId="0" fillId="0" borderId="2" xfId="0" applyBorder="1" applyAlignment="1">
      <alignment wrapText="1"/>
    </xf>
    <xf numFmtId="0" fontId="0" fillId="0" borderId="2" xfId="0" applyBorder="1" applyAlignment="1">
      <alignment vertical="top" wrapText="1"/>
    </xf>
    <xf numFmtId="0" fontId="0" fillId="5" borderId="2" xfId="0" applyFill="1" applyBorder="1" applyAlignment="1">
      <alignment vertical="top" wrapText="1"/>
    </xf>
    <xf numFmtId="0" fontId="3" fillId="4" borderId="2" xfId="0" applyFont="1" applyFill="1" applyBorder="1" applyAlignment="1">
      <alignment vertical="top" wrapText="1"/>
    </xf>
    <xf numFmtId="0" fontId="0" fillId="0" borderId="1" xfId="0" applyBorder="1" applyAlignment="1">
      <alignment vertical="center" wrapText="1"/>
    </xf>
    <xf numFmtId="164" fontId="0" fillId="3" borderId="1" xfId="0" applyNumberFormat="1" applyFill="1" applyBorder="1" applyAlignment="1">
      <alignment vertical="center" wrapText="1"/>
    </xf>
    <xf numFmtId="0" fontId="3" fillId="6" borderId="2" xfId="0" applyFont="1" applyFill="1" applyBorder="1" applyAlignment="1">
      <alignment wrapText="1"/>
    </xf>
    <xf numFmtId="0" fontId="1" fillId="2" borderId="0" xfId="0" applyFont="1" applyFill="1" applyAlignment="1">
      <alignment vertical="center"/>
    </xf>
    <xf numFmtId="0" fontId="2"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showGridLines="0" workbookViewId="0"/>
  </sheetViews>
  <sheetFormatPr defaultRowHeight="14.25"/>
  <cols>
    <col min="1" max="1" width="18" customWidth="1"/>
    <col min="2" max="2" width="110" customWidth="1"/>
  </cols>
  <sheetData>
    <row r="1" spans="1:14" ht="27.95" customHeight="1">
      <c r="A1" s="9" t="s">
        <v>0</v>
      </c>
      <c r="B1" s="9"/>
      <c r="C1" s="9"/>
      <c r="D1" s="9"/>
      <c r="E1" s="9"/>
      <c r="F1" s="9"/>
      <c r="G1" s="9"/>
      <c r="H1" s="9"/>
      <c r="I1" s="9"/>
      <c r="J1" s="9"/>
      <c r="K1" s="9"/>
      <c r="L1" s="9"/>
      <c r="M1" s="9"/>
      <c r="N1" s="9"/>
    </row>
    <row r="2" spans="1:14" ht="39.950000000000003" customHeight="1">
      <c r="A2" s="10" t="s">
        <v>1</v>
      </c>
      <c r="B2" s="10"/>
      <c r="C2" s="10"/>
      <c r="D2" s="10"/>
      <c r="E2" s="10"/>
      <c r="F2" s="10"/>
      <c r="G2" s="10"/>
      <c r="H2" s="10"/>
      <c r="I2" s="10"/>
      <c r="J2" s="10"/>
      <c r="K2" s="10"/>
      <c r="L2" s="10"/>
      <c r="M2" s="10"/>
      <c r="N2" s="10"/>
    </row>
    <row r="4" spans="1:14" ht="15" customHeight="1">
      <c r="A4" s="5" t="s">
        <v>2</v>
      </c>
      <c r="B4" s="5" t="s">
        <v>3</v>
      </c>
    </row>
    <row r="5" spans="1:14" ht="26.45" customHeight="1">
      <c r="A5" s="3" t="s">
        <v>4</v>
      </c>
      <c r="B5" s="3" t="s">
        <v>5</v>
      </c>
    </row>
    <row r="6" spans="1:14" ht="15" customHeight="1">
      <c r="A6" s="3" t="s">
        <v>6</v>
      </c>
      <c r="B6" s="3" t="s">
        <v>7</v>
      </c>
    </row>
    <row r="7" spans="1:14" ht="15" customHeight="1">
      <c r="A7" s="3" t="s">
        <v>8</v>
      </c>
      <c r="B7" s="3" t="s">
        <v>9</v>
      </c>
    </row>
    <row r="8" spans="1:14" ht="15" customHeight="1">
      <c r="A8" s="3" t="s">
        <v>10</v>
      </c>
      <c r="B8" s="3" t="s">
        <v>11</v>
      </c>
    </row>
    <row r="9" spans="1:14" ht="15" customHeight="1">
      <c r="A9" s="3" t="s">
        <v>12</v>
      </c>
      <c r="B9" s="3" t="s">
        <v>13</v>
      </c>
    </row>
    <row r="10" spans="1:14" ht="15" customHeight="1">
      <c r="A10" s="3" t="s">
        <v>14</v>
      </c>
      <c r="B10" s="3" t="s">
        <v>15</v>
      </c>
    </row>
    <row r="11" spans="1:14" ht="15" customHeight="1">
      <c r="A11" s="3" t="s">
        <v>16</v>
      </c>
      <c r="B11" s="3" t="s">
        <v>17</v>
      </c>
    </row>
    <row r="12" spans="1:14" ht="15" customHeight="1">
      <c r="A12" s="3" t="s">
        <v>18</v>
      </c>
      <c r="B12" s="3" t="s">
        <v>19</v>
      </c>
    </row>
    <row r="13" spans="1:14" ht="15" customHeight="1">
      <c r="A13" s="3" t="s">
        <v>20</v>
      </c>
      <c r="B13" s="3" t="s">
        <v>21</v>
      </c>
    </row>
    <row r="14" spans="1:14" ht="15" customHeight="1">
      <c r="A14" s="3" t="s">
        <v>22</v>
      </c>
      <c r="B14" s="3" t="s">
        <v>23</v>
      </c>
    </row>
    <row r="15" spans="1:14" ht="15" customHeight="1">
      <c r="A15" s="3" t="s">
        <v>24</v>
      </c>
      <c r="B15" s="3" t="s">
        <v>25</v>
      </c>
    </row>
    <row r="16" spans="1:14" ht="15" customHeight="1">
      <c r="A16" s="3" t="s">
        <v>26</v>
      </c>
      <c r="B16" s="3" t="s">
        <v>27</v>
      </c>
    </row>
    <row r="17" spans="1:2" ht="15" customHeight="1">
      <c r="A17" s="3" t="s">
        <v>28</v>
      </c>
      <c r="B17" s="3" t="s">
        <v>29</v>
      </c>
    </row>
    <row r="18" spans="1:2" ht="15" customHeight="1">
      <c r="A18" s="3" t="s">
        <v>30</v>
      </c>
      <c r="B18" s="3" t="s">
        <v>31</v>
      </c>
    </row>
    <row r="19" spans="1:2" ht="15" customHeight="1">
      <c r="A19" s="3" t="s">
        <v>32</v>
      </c>
      <c r="B19" s="3" t="s">
        <v>33</v>
      </c>
    </row>
  </sheetData>
  <mergeCells count="2">
    <mergeCell ref="A1:N1"/>
    <mergeCell ref="A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showGridLines="0" workbookViewId="0"/>
  </sheetViews>
  <sheetFormatPr defaultRowHeight="14.25"/>
  <cols>
    <col min="1" max="1" width="10" customWidth="1"/>
    <col min="2" max="2" width="28" customWidth="1"/>
    <col min="3" max="4" width="14" customWidth="1"/>
    <col min="5" max="7" width="17" customWidth="1"/>
    <col min="8" max="8" width="52" customWidth="1"/>
  </cols>
  <sheetData>
    <row r="1" spans="1:14" ht="27.95" customHeight="1">
      <c r="A1" s="9" t="s">
        <v>34</v>
      </c>
      <c r="B1" s="9"/>
      <c r="C1" s="9"/>
      <c r="D1" s="9"/>
      <c r="E1" s="9"/>
      <c r="F1" s="9"/>
      <c r="G1" s="9"/>
      <c r="H1" s="9"/>
      <c r="I1" s="9"/>
      <c r="J1" s="9"/>
      <c r="K1" s="9"/>
      <c r="L1" s="9"/>
      <c r="M1" s="9"/>
      <c r="N1" s="9"/>
    </row>
    <row r="2" spans="1:14" ht="39.950000000000003" customHeight="1">
      <c r="A2" s="10" t="s">
        <v>35</v>
      </c>
      <c r="B2" s="10"/>
      <c r="C2" s="10"/>
      <c r="D2" s="10"/>
      <c r="E2" s="10"/>
      <c r="F2" s="10"/>
      <c r="G2" s="10"/>
      <c r="H2" s="10"/>
      <c r="I2" s="10"/>
      <c r="J2" s="10"/>
      <c r="K2" s="10"/>
      <c r="L2" s="10"/>
      <c r="M2" s="10"/>
      <c r="N2" s="10"/>
    </row>
    <row r="4" spans="1:14" ht="15" customHeight="1">
      <c r="A4" s="1" t="s">
        <v>36</v>
      </c>
      <c r="B4" s="1" t="s">
        <v>37</v>
      </c>
      <c r="C4" s="1" t="s">
        <v>38</v>
      </c>
      <c r="D4" s="1" t="s">
        <v>39</v>
      </c>
      <c r="E4" s="1" t="s">
        <v>40</v>
      </c>
      <c r="F4" s="1" t="s">
        <v>41</v>
      </c>
      <c r="G4" s="1" t="s">
        <v>42</v>
      </c>
      <c r="H4" s="1" t="s">
        <v>43</v>
      </c>
    </row>
    <row r="5" spans="1:14" ht="15" customHeight="1">
      <c r="A5" s="6" t="s">
        <v>30</v>
      </c>
      <c r="B5" s="6" t="s">
        <v>44</v>
      </c>
      <c r="C5" s="7" t="str">
        <f>IF(COUNTIF('EQ1 Requirements'!I4:I45,"Yes")+COUNTIF('EQ1 Requirements'!I4:I45,"No")=42,COUNTIF('EQ1 Requirements'!I4:I45,"Yes")/42,"")</f>
        <v/>
      </c>
      <c r="D5" s="7" t="str">
        <f>IF(COUNTIF('EQ1 Requirements'!M4:M45,"Yes")+COUNTIF('EQ1 Requirements'!M4:M45,"No")=42,COUNTIF('EQ1 Requirements'!M4:M45,"Yes")/42,"")</f>
        <v/>
      </c>
      <c r="E5" s="7" t="str">
        <f>IF(AND(ISNUMBER(C5),ISNUMBER(D5)),(COUNTIF('EQ1 Requirements'!I4:I45,"Yes")+COUNTIF('EQ1 Requirements'!M4:M45,"Yes"))/84,"")</f>
        <v/>
      </c>
      <c r="F5" s="6">
        <f>COUNTIF('EQ1 Requirements'!I4:I45,"Yes")+COUNTIF('EQ1 Requirements'!I4:I45,"No")+COUNTIF('EQ1 Requirements'!M4:M45,"Yes")+COUNTIF('EQ1 Requirements'!M4:M45,"No")</f>
        <v>0</v>
      </c>
      <c r="G5" s="6">
        <v>84</v>
      </c>
      <c r="H5" s="6" t="s">
        <v>45</v>
      </c>
    </row>
    <row r="6" spans="1:14" ht="15" customHeight="1">
      <c r="A6" s="6" t="s">
        <v>32</v>
      </c>
      <c r="B6" s="6" t="s">
        <v>46</v>
      </c>
      <c r="C6" s="7" t="str">
        <f>IF(COUNTIF('EQ2 Configuration'!I4:I12,"Yes")+COUNTIF('EQ2 Configuration'!I4:I12,"No")=9,COUNTIF('EQ2 Configuration'!I4:I12,"Yes")/9,"")</f>
        <v/>
      </c>
      <c r="D6" s="7" t="str">
        <f>IF(COUNTIF('EQ2 Configuration'!M4:M12,"Yes")+COUNTIF('EQ2 Configuration'!M4:M12,"No")=9,COUNTIF('EQ2 Configuration'!M4:M12,"Yes")/9,"")</f>
        <v/>
      </c>
      <c r="E6" s="7" t="str">
        <f>IF(AND(ISNUMBER(C6),ISNUMBER(D6)),(COUNTIF('EQ2 Configuration'!I4:I12,"Yes")+COUNTIF('EQ2 Configuration'!M4:M12,"Yes"))/18,"")</f>
        <v/>
      </c>
      <c r="F6" s="6">
        <f>COUNTIF('EQ2 Configuration'!I4:I12,"Yes")+COUNTIF('EQ2 Configuration'!I4:I12,"No")+COUNTIF('EQ2 Configuration'!M4:M12,"Yes")+COUNTIF('EQ2 Configuration'!M4:M12,"No")</f>
        <v>0</v>
      </c>
      <c r="G6" s="6">
        <v>18</v>
      </c>
      <c r="H6" s="6" t="s">
        <v>47</v>
      </c>
    </row>
    <row r="7" spans="1:14" ht="15" customHeight="1">
      <c r="A7" s="6" t="s">
        <v>48</v>
      </c>
      <c r="B7" s="6" t="s">
        <v>49</v>
      </c>
      <c r="C7" s="7" t="str">
        <f>IF(COUNTIF('EQ3 Package'!I4:I11,"Yes")+COUNTIF('EQ3 Package'!I4:I11,"No")=8,IF(COUNTIF('EQ3 Package'!I4:I11,"No")=0,1,0),"")</f>
        <v/>
      </c>
      <c r="D7" s="7" t="str">
        <f>IF(COUNTIF('EQ3 Package'!M4:M11,"Yes")+COUNTIF('EQ3 Package'!M4:M11,"No")=8,IF(COUNTIF('EQ3 Package'!M4:M11,"No")=0,1,0),"")</f>
        <v/>
      </c>
      <c r="E7" s="7" t="str">
        <f>IF(AND(ISNUMBER(C7),ISNUMBER(D7)),AVERAGE(C7:D7),"")</f>
        <v/>
      </c>
      <c r="F7" s="6">
        <f>COUNTIF('EQ3 Package'!I4:I11,"Yes")+COUNTIF('EQ3 Package'!I4:I11,"No")+COUNTIF('EQ3 Package'!M4:M11,"Yes")+COUNTIF('EQ3 Package'!M4:M11,"No")</f>
        <v>0</v>
      </c>
      <c r="G7" s="6">
        <v>16</v>
      </c>
      <c r="H7" s="6" t="s">
        <v>50</v>
      </c>
    </row>
    <row r="8" spans="1:14" ht="15" customHeight="1">
      <c r="A8" s="6" t="s">
        <v>51</v>
      </c>
      <c r="B8" s="6" t="s">
        <v>52</v>
      </c>
      <c r="C8" s="7" t="str">
        <f>IF(COUNTIF('EQ4 Execution'!I4:I7,"Yes")+COUNTIF('EQ4 Execution'!I4:I7,"No")=4,IF(COUNTIF('EQ4 Execution'!I4:I7,"No")=0,1,0),"")</f>
        <v/>
      </c>
      <c r="D8" s="7" t="str">
        <f>IF(COUNTIF('EQ4 Execution'!M4:M7,"Yes")+COUNTIF('EQ4 Execution'!M4:M7,"No")=4,IF(COUNTIF('EQ4 Execution'!M4:M7,"No")=0,1,0),"")</f>
        <v/>
      </c>
      <c r="E8" s="7" t="str">
        <f>IF(AND(ISNUMBER(C8),ISNUMBER(D8)),AVERAGE(C8:D8),"")</f>
        <v/>
      </c>
      <c r="F8" s="6">
        <f>COUNTIF('EQ4 Execution'!I4:I7,"Yes")+COUNTIF('EQ4 Execution'!I4:I7,"No")+COUNTIF('EQ4 Execution'!M4:M7,"Yes")+COUNTIF('EQ4 Execution'!M4:M7,"No")</f>
        <v>0</v>
      </c>
      <c r="G8" s="6">
        <v>8</v>
      </c>
      <c r="H8" s="6" t="s">
        <v>53</v>
      </c>
    </row>
    <row r="10" spans="1:14" ht="15" customHeight="1">
      <c r="A10" s="8" t="s">
        <v>54</v>
      </c>
      <c r="B10" s="8" t="s">
        <v>38</v>
      </c>
      <c r="C10" s="8" t="s">
        <v>39</v>
      </c>
      <c r="D10" s="8" t="s">
        <v>55</v>
      </c>
      <c r="E10" s="8"/>
      <c r="F10" s="8"/>
      <c r="G10" s="8"/>
      <c r="H10" s="8" t="s">
        <v>56</v>
      </c>
    </row>
    <row r="11" spans="1:14" ht="26.45" customHeight="1">
      <c r="A11" s="2" t="s">
        <v>57</v>
      </c>
      <c r="B11" s="2" t="str">
        <f>"Yes: "&amp;COUNTIF('EQ1 Diagnostics'!I4:I6,"Yes")&amp;"; No: "&amp;COUNTIF('EQ1 Diagnostics'!I4:I6,"No")</f>
        <v>Yes: 0; No: 0</v>
      </c>
      <c r="C11" s="2" t="str">
        <f>"Yes: "&amp;COUNTIF('EQ1 Diagnostics'!M4:M6,"Yes")&amp;"; No: "&amp;COUNTIF('EQ1 Diagnostics'!M4:M6,"No")</f>
        <v>Yes: 0; No: 0</v>
      </c>
      <c r="D11" s="2" t="s">
        <v>58</v>
      </c>
      <c r="E11" s="2"/>
      <c r="F11" s="2"/>
      <c r="G11" s="2"/>
      <c r="H11" s="2" t="s">
        <v>59</v>
      </c>
    </row>
    <row r="12" spans="1:14" ht="39.6" customHeight="1">
      <c r="A12" s="2" t="s">
        <v>60</v>
      </c>
      <c r="B12" s="2"/>
      <c r="C12" s="2"/>
      <c r="D12" s="2" t="s">
        <v>61</v>
      </c>
      <c r="E12" s="2"/>
      <c r="F12" s="2"/>
      <c r="G12" s="2"/>
      <c r="H12" s="2" t="s">
        <v>62</v>
      </c>
    </row>
    <row r="13" spans="1:14" ht="52.7" customHeight="1">
      <c r="A13" s="2" t="s">
        <v>63</v>
      </c>
      <c r="B13" s="2"/>
      <c r="C13" s="2"/>
      <c r="D13" s="2" t="s">
        <v>64</v>
      </c>
      <c r="E13" s="2"/>
      <c r="F13" s="2"/>
      <c r="G13" s="2"/>
      <c r="H13" s="2" t="s">
        <v>65</v>
      </c>
    </row>
    <row r="14" spans="1:14" ht="26.45" customHeight="1">
      <c r="A14" s="2" t="s">
        <v>66</v>
      </c>
      <c r="B14" s="2"/>
      <c r="C14" s="2"/>
      <c r="D14" s="2"/>
      <c r="E14" s="2"/>
      <c r="F14" s="2"/>
      <c r="G14" s="2"/>
      <c r="H14" s="2" t="s">
        <v>67</v>
      </c>
    </row>
  </sheetData>
  <mergeCells count="2">
    <mergeCell ref="A1:N1"/>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showGridLines="0" tabSelected="1" topLeftCell="A38" workbookViewId="0">
      <selection activeCell="E44" sqref="E44"/>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68</v>
      </c>
      <c r="B1" s="9"/>
      <c r="C1" s="9"/>
      <c r="D1" s="9"/>
      <c r="E1" s="9"/>
      <c r="F1" s="9"/>
      <c r="G1" s="9"/>
      <c r="H1" s="9"/>
      <c r="I1" s="9"/>
      <c r="J1" s="9"/>
      <c r="K1" s="9"/>
      <c r="L1" s="9"/>
      <c r="M1" s="9"/>
      <c r="N1" s="9"/>
    </row>
    <row r="2" spans="1:14" ht="39.950000000000003" customHeight="1">
      <c r="A2" s="10" t="s">
        <v>69</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84</v>
      </c>
      <c r="B4" s="3" t="s">
        <v>85</v>
      </c>
      <c r="C4" s="3" t="s">
        <v>86</v>
      </c>
      <c r="D4" s="3" t="s">
        <v>87</v>
      </c>
      <c r="E4" s="3" t="s">
        <v>88</v>
      </c>
      <c r="F4" s="3"/>
      <c r="G4" s="3"/>
      <c r="H4" s="4"/>
      <c r="I4" s="3"/>
      <c r="J4" s="3"/>
      <c r="K4" s="3"/>
      <c r="L4" s="4"/>
      <c r="M4" s="3"/>
      <c r="N4" s="3"/>
    </row>
    <row r="5" spans="1:14" ht="26.45" customHeight="1">
      <c r="A5" s="3" t="s">
        <v>84</v>
      </c>
      <c r="B5" s="3" t="s">
        <v>89</v>
      </c>
      <c r="C5" s="3" t="s">
        <v>90</v>
      </c>
      <c r="D5" s="3" t="s">
        <v>91</v>
      </c>
      <c r="E5" s="3" t="s">
        <v>88</v>
      </c>
      <c r="F5" s="3"/>
      <c r="G5" s="3"/>
      <c r="H5" s="4"/>
      <c r="I5" s="3"/>
      <c r="J5" s="3"/>
      <c r="K5" s="3"/>
      <c r="L5" s="4"/>
      <c r="M5" s="3"/>
      <c r="N5" s="3"/>
    </row>
    <row r="6" spans="1:14" ht="26.45" customHeight="1">
      <c r="A6" s="3" t="s">
        <v>84</v>
      </c>
      <c r="B6" s="3" t="s">
        <v>92</v>
      </c>
      <c r="C6" s="3" t="s">
        <v>93</v>
      </c>
      <c r="D6" s="3" t="s">
        <v>94</v>
      </c>
      <c r="E6" s="3" t="s">
        <v>88</v>
      </c>
      <c r="F6" s="3"/>
      <c r="G6" s="3"/>
      <c r="H6" s="4"/>
      <c r="I6" s="3"/>
      <c r="J6" s="3"/>
      <c r="K6" s="3"/>
      <c r="L6" s="4"/>
      <c r="M6" s="3"/>
      <c r="N6" s="3"/>
    </row>
    <row r="7" spans="1:14" ht="39.6" customHeight="1">
      <c r="A7" s="3" t="s">
        <v>84</v>
      </c>
      <c r="B7" s="3" t="s">
        <v>95</v>
      </c>
      <c r="C7" s="3" t="s">
        <v>96</v>
      </c>
      <c r="D7" s="3" t="s">
        <v>97</v>
      </c>
      <c r="E7" s="3" t="s">
        <v>88</v>
      </c>
      <c r="F7" s="3"/>
      <c r="G7" s="3"/>
      <c r="H7" s="4"/>
      <c r="I7" s="3"/>
      <c r="J7" s="3"/>
      <c r="K7" s="3"/>
      <c r="L7" s="4"/>
      <c r="M7" s="3"/>
      <c r="N7" s="3"/>
    </row>
    <row r="8" spans="1:14" ht="15" customHeight="1">
      <c r="A8" s="3" t="s">
        <v>84</v>
      </c>
      <c r="B8" s="3" t="s">
        <v>98</v>
      </c>
      <c r="C8" s="3" t="s">
        <v>99</v>
      </c>
      <c r="D8" s="3" t="s">
        <v>100</v>
      </c>
      <c r="E8" s="3" t="s">
        <v>88</v>
      </c>
      <c r="F8" s="3"/>
      <c r="G8" s="3"/>
      <c r="H8" s="4"/>
      <c r="I8" s="3"/>
      <c r="J8" s="3"/>
      <c r="K8" s="3"/>
      <c r="L8" s="4"/>
      <c r="M8" s="3"/>
      <c r="N8" s="3"/>
    </row>
    <row r="9" spans="1:14" ht="26.45" customHeight="1">
      <c r="A9" s="3" t="s">
        <v>84</v>
      </c>
      <c r="B9" s="3" t="s">
        <v>101</v>
      </c>
      <c r="C9" s="3" t="s">
        <v>102</v>
      </c>
      <c r="D9" s="3" t="s">
        <v>103</v>
      </c>
      <c r="E9" s="3" t="s">
        <v>88</v>
      </c>
      <c r="F9" s="3"/>
      <c r="G9" s="3"/>
      <c r="H9" s="4"/>
      <c r="I9" s="3"/>
      <c r="J9" s="3"/>
      <c r="K9" s="3"/>
      <c r="L9" s="4"/>
      <c r="M9" s="3"/>
      <c r="N9" s="3"/>
    </row>
    <row r="10" spans="1:14" ht="26.45" customHeight="1">
      <c r="A10" s="3" t="s">
        <v>84</v>
      </c>
      <c r="B10" s="3" t="s">
        <v>104</v>
      </c>
      <c r="C10" s="3" t="s">
        <v>105</v>
      </c>
      <c r="D10" s="3" t="s">
        <v>106</v>
      </c>
      <c r="E10" s="3" t="s">
        <v>88</v>
      </c>
      <c r="F10" s="3"/>
      <c r="G10" s="3"/>
      <c r="H10" s="4"/>
      <c r="I10" s="3"/>
      <c r="J10" s="3"/>
      <c r="K10" s="3"/>
      <c r="L10" s="4"/>
      <c r="M10" s="3"/>
      <c r="N10" s="3"/>
    </row>
    <row r="11" spans="1:14" ht="15" customHeight="1">
      <c r="A11" s="3" t="s">
        <v>84</v>
      </c>
      <c r="B11" s="3" t="s">
        <v>107</v>
      </c>
      <c r="C11" s="3" t="s">
        <v>108</v>
      </c>
      <c r="D11" s="3" t="s">
        <v>109</v>
      </c>
      <c r="E11" s="3" t="s">
        <v>88</v>
      </c>
      <c r="F11" s="3"/>
      <c r="G11" s="3"/>
      <c r="H11" s="4"/>
      <c r="I11" s="3"/>
      <c r="J11" s="3"/>
      <c r="K11" s="3"/>
      <c r="L11" s="4"/>
      <c r="M11" s="3"/>
      <c r="N11" s="3"/>
    </row>
    <row r="12" spans="1:14" ht="39.6" customHeight="1">
      <c r="A12" s="3" t="s">
        <v>84</v>
      </c>
      <c r="B12" s="3" t="s">
        <v>110</v>
      </c>
      <c r="C12" s="3" t="s">
        <v>111</v>
      </c>
      <c r="D12" s="3" t="s">
        <v>112</v>
      </c>
      <c r="E12" s="3" t="s">
        <v>88</v>
      </c>
      <c r="F12" s="3"/>
      <c r="G12" s="3"/>
      <c r="H12" s="4"/>
      <c r="I12" s="3"/>
      <c r="J12" s="3"/>
      <c r="K12" s="3"/>
      <c r="L12" s="4"/>
      <c r="M12" s="3"/>
      <c r="N12" s="3"/>
    </row>
    <row r="13" spans="1:14" ht="15" customHeight="1">
      <c r="A13" s="3" t="s">
        <v>84</v>
      </c>
      <c r="B13" s="3" t="s">
        <v>113</v>
      </c>
      <c r="C13" s="3" t="s">
        <v>114</v>
      </c>
      <c r="D13" s="3" t="s">
        <v>115</v>
      </c>
      <c r="E13" s="3" t="s">
        <v>88</v>
      </c>
      <c r="F13" s="3"/>
      <c r="G13" s="3"/>
      <c r="H13" s="4"/>
      <c r="I13" s="3"/>
      <c r="J13" s="3"/>
      <c r="K13" s="3"/>
      <c r="L13" s="4"/>
      <c r="M13" s="3"/>
      <c r="N13" s="3"/>
    </row>
    <row r="14" spans="1:14" ht="15" customHeight="1">
      <c r="A14" s="3" t="s">
        <v>84</v>
      </c>
      <c r="B14" s="3" t="s">
        <v>116</v>
      </c>
      <c r="C14" s="3" t="s">
        <v>117</v>
      </c>
      <c r="D14" s="3" t="s">
        <v>118</v>
      </c>
      <c r="E14" s="3" t="s">
        <v>88</v>
      </c>
      <c r="F14" s="3"/>
      <c r="G14" s="3"/>
      <c r="H14" s="4"/>
      <c r="I14" s="3"/>
      <c r="J14" s="3"/>
      <c r="K14" s="3"/>
      <c r="L14" s="4"/>
      <c r="M14" s="3"/>
      <c r="N14" s="3"/>
    </row>
    <row r="15" spans="1:14" ht="26.45" customHeight="1">
      <c r="A15" s="3" t="s">
        <v>84</v>
      </c>
      <c r="B15" s="3" t="s">
        <v>119</v>
      </c>
      <c r="C15" s="3" t="s">
        <v>120</v>
      </c>
      <c r="D15" s="3" t="s">
        <v>121</v>
      </c>
      <c r="E15" s="3" t="s">
        <v>88</v>
      </c>
      <c r="F15" s="3"/>
      <c r="G15" s="3"/>
      <c r="H15" s="4"/>
      <c r="I15" s="3"/>
      <c r="J15" s="3"/>
      <c r="K15" s="3"/>
      <c r="L15" s="4"/>
      <c r="M15" s="3"/>
      <c r="N15" s="3"/>
    </row>
    <row r="16" spans="1:14" ht="26.45" customHeight="1">
      <c r="A16" s="3" t="s">
        <v>84</v>
      </c>
      <c r="B16" s="3" t="s">
        <v>122</v>
      </c>
      <c r="C16" s="3" t="s">
        <v>123</v>
      </c>
      <c r="D16" s="3" t="s">
        <v>124</v>
      </c>
      <c r="E16" s="3" t="s">
        <v>88</v>
      </c>
      <c r="F16" s="3"/>
      <c r="G16" s="3"/>
      <c r="H16" s="4"/>
      <c r="I16" s="3"/>
      <c r="J16" s="3"/>
      <c r="K16" s="3"/>
      <c r="L16" s="4"/>
      <c r="M16" s="3"/>
      <c r="N16" s="3"/>
    </row>
    <row r="17" spans="1:14" ht="26.45" customHeight="1">
      <c r="A17" s="3" t="s">
        <v>84</v>
      </c>
      <c r="B17" s="3" t="s">
        <v>125</v>
      </c>
      <c r="C17" s="3" t="s">
        <v>126</v>
      </c>
      <c r="D17" s="3" t="s">
        <v>127</v>
      </c>
      <c r="E17" s="3" t="s">
        <v>88</v>
      </c>
      <c r="F17" s="3"/>
      <c r="G17" s="3"/>
      <c r="H17" s="4"/>
      <c r="I17" s="3"/>
      <c r="J17" s="3"/>
      <c r="K17" s="3"/>
      <c r="L17" s="4"/>
      <c r="M17" s="3"/>
      <c r="N17" s="3"/>
    </row>
    <row r="18" spans="1:14" ht="26.45" customHeight="1">
      <c r="A18" s="3" t="s">
        <v>84</v>
      </c>
      <c r="B18" s="3" t="s">
        <v>128</v>
      </c>
      <c r="C18" s="3" t="s">
        <v>129</v>
      </c>
      <c r="D18" s="3" t="s">
        <v>130</v>
      </c>
      <c r="E18" s="3" t="s">
        <v>88</v>
      </c>
      <c r="F18" s="3"/>
      <c r="G18" s="3"/>
      <c r="H18" s="4"/>
      <c r="I18" s="3"/>
      <c r="J18" s="3"/>
      <c r="K18" s="3"/>
      <c r="L18" s="4"/>
      <c r="M18" s="3"/>
      <c r="N18" s="3"/>
    </row>
    <row r="19" spans="1:14" ht="15" customHeight="1">
      <c r="A19" s="3" t="s">
        <v>84</v>
      </c>
      <c r="B19" s="3" t="s">
        <v>131</v>
      </c>
      <c r="C19" s="3" t="s">
        <v>132</v>
      </c>
      <c r="D19" s="3" t="s">
        <v>133</v>
      </c>
      <c r="E19" s="3" t="s">
        <v>88</v>
      </c>
      <c r="F19" s="3"/>
      <c r="G19" s="3"/>
      <c r="H19" s="4"/>
      <c r="I19" s="3"/>
      <c r="J19" s="3"/>
      <c r="K19" s="3"/>
      <c r="L19" s="4"/>
      <c r="M19" s="3"/>
      <c r="N19" s="3"/>
    </row>
    <row r="20" spans="1:14" ht="26.45" customHeight="1">
      <c r="A20" s="3" t="s">
        <v>84</v>
      </c>
      <c r="B20" s="3" t="s">
        <v>134</v>
      </c>
      <c r="C20" s="3" t="s">
        <v>135</v>
      </c>
      <c r="D20" s="3" t="s">
        <v>136</v>
      </c>
      <c r="E20" s="3" t="s">
        <v>88</v>
      </c>
      <c r="F20" s="3"/>
      <c r="G20" s="3"/>
      <c r="H20" s="4"/>
      <c r="I20" s="3"/>
      <c r="J20" s="3"/>
      <c r="K20" s="3"/>
      <c r="L20" s="4"/>
      <c r="M20" s="3"/>
      <c r="N20" s="3"/>
    </row>
    <row r="21" spans="1:14" ht="26.45" customHeight="1">
      <c r="A21" s="3" t="s">
        <v>84</v>
      </c>
      <c r="B21" s="3" t="s">
        <v>137</v>
      </c>
      <c r="C21" s="3" t="s">
        <v>138</v>
      </c>
      <c r="D21" s="3" t="s">
        <v>139</v>
      </c>
      <c r="E21" s="3" t="s">
        <v>88</v>
      </c>
      <c r="F21" s="3"/>
      <c r="G21" s="3"/>
      <c r="H21" s="4"/>
      <c r="I21" s="3"/>
      <c r="J21" s="3"/>
      <c r="K21" s="3"/>
      <c r="L21" s="4"/>
      <c r="M21" s="3"/>
      <c r="N21" s="3"/>
    </row>
    <row r="22" spans="1:14" ht="26.45" customHeight="1">
      <c r="A22" s="3" t="s">
        <v>84</v>
      </c>
      <c r="B22" s="3" t="s">
        <v>140</v>
      </c>
      <c r="C22" s="3" t="s">
        <v>141</v>
      </c>
      <c r="D22" s="3" t="s">
        <v>142</v>
      </c>
      <c r="E22" s="3" t="s">
        <v>88</v>
      </c>
      <c r="F22" s="3"/>
      <c r="G22" s="3"/>
      <c r="H22" s="4"/>
      <c r="I22" s="3"/>
      <c r="J22" s="3"/>
      <c r="K22" s="3"/>
      <c r="L22" s="4"/>
      <c r="M22" s="3"/>
      <c r="N22" s="3"/>
    </row>
    <row r="23" spans="1:14" ht="26.45" customHeight="1">
      <c r="A23" s="3" t="s">
        <v>84</v>
      </c>
      <c r="B23" s="3" t="s">
        <v>143</v>
      </c>
      <c r="C23" s="3" t="s">
        <v>144</v>
      </c>
      <c r="D23" s="3" t="s">
        <v>145</v>
      </c>
      <c r="E23" s="3" t="s">
        <v>88</v>
      </c>
      <c r="F23" s="3"/>
      <c r="G23" s="3"/>
      <c r="H23" s="4"/>
      <c r="I23" s="3"/>
      <c r="J23" s="3"/>
      <c r="K23" s="3"/>
      <c r="L23" s="4"/>
      <c r="M23" s="3"/>
      <c r="N23" s="3"/>
    </row>
    <row r="24" spans="1:14" ht="15" customHeight="1">
      <c r="A24" s="3" t="s">
        <v>84</v>
      </c>
      <c r="B24" s="3" t="s">
        <v>146</v>
      </c>
      <c r="C24" s="3" t="s">
        <v>147</v>
      </c>
      <c r="D24" s="3" t="s">
        <v>148</v>
      </c>
      <c r="E24" s="3" t="s">
        <v>88</v>
      </c>
      <c r="F24" s="3"/>
      <c r="G24" s="3"/>
      <c r="H24" s="4"/>
      <c r="I24" s="3"/>
      <c r="J24" s="3"/>
      <c r="K24" s="3"/>
      <c r="L24" s="4"/>
      <c r="M24" s="3"/>
      <c r="N24" s="3"/>
    </row>
    <row r="25" spans="1:14" ht="39.6" customHeight="1">
      <c r="A25" s="3" t="s">
        <v>84</v>
      </c>
      <c r="B25" s="3" t="s">
        <v>149</v>
      </c>
      <c r="C25" s="3" t="s">
        <v>150</v>
      </c>
      <c r="D25" s="3" t="s">
        <v>151</v>
      </c>
      <c r="E25" s="3" t="s">
        <v>88</v>
      </c>
      <c r="F25" s="3"/>
      <c r="G25" s="3"/>
      <c r="H25" s="4"/>
      <c r="I25" s="3"/>
      <c r="J25" s="3"/>
      <c r="K25" s="3"/>
      <c r="L25" s="4"/>
      <c r="M25" s="3"/>
      <c r="N25" s="3"/>
    </row>
    <row r="26" spans="1:14" ht="26.45" customHeight="1">
      <c r="A26" s="3" t="s">
        <v>84</v>
      </c>
      <c r="B26" s="3" t="s">
        <v>152</v>
      </c>
      <c r="C26" s="3" t="s">
        <v>153</v>
      </c>
      <c r="D26" s="3" t="s">
        <v>154</v>
      </c>
      <c r="E26" s="3" t="s">
        <v>88</v>
      </c>
      <c r="F26" s="3"/>
      <c r="G26" s="3"/>
      <c r="H26" s="4"/>
      <c r="I26" s="3"/>
      <c r="J26" s="3"/>
      <c r="K26" s="3"/>
      <c r="L26" s="4"/>
      <c r="M26" s="3"/>
      <c r="N26" s="3"/>
    </row>
    <row r="27" spans="1:14" ht="15" customHeight="1">
      <c r="A27" s="3" t="s">
        <v>84</v>
      </c>
      <c r="B27" s="3" t="s">
        <v>155</v>
      </c>
      <c r="C27" s="3" t="s">
        <v>156</v>
      </c>
      <c r="D27" s="3" t="s">
        <v>157</v>
      </c>
      <c r="E27" s="3" t="s">
        <v>88</v>
      </c>
      <c r="F27" s="3"/>
      <c r="G27" s="3"/>
      <c r="H27" s="4"/>
      <c r="I27" s="3"/>
      <c r="J27" s="3"/>
      <c r="K27" s="3"/>
      <c r="L27" s="4"/>
      <c r="M27" s="3"/>
      <c r="N27" s="3"/>
    </row>
    <row r="28" spans="1:14" ht="26.45" customHeight="1">
      <c r="A28" s="3" t="s">
        <v>84</v>
      </c>
      <c r="B28" s="3" t="s">
        <v>158</v>
      </c>
      <c r="C28" s="3" t="s">
        <v>159</v>
      </c>
      <c r="D28" s="3" t="s">
        <v>160</v>
      </c>
      <c r="E28" s="3" t="s">
        <v>88</v>
      </c>
      <c r="F28" s="3"/>
      <c r="G28" s="3"/>
      <c r="H28" s="4"/>
      <c r="I28" s="3"/>
      <c r="J28" s="3"/>
      <c r="K28" s="3"/>
      <c r="L28" s="4"/>
      <c r="M28" s="3"/>
      <c r="N28" s="3"/>
    </row>
    <row r="29" spans="1:14" ht="39.6" customHeight="1">
      <c r="A29" s="3" t="s">
        <v>84</v>
      </c>
      <c r="B29" s="3" t="s">
        <v>161</v>
      </c>
      <c r="C29" s="3" t="s">
        <v>162</v>
      </c>
      <c r="D29" s="3" t="s">
        <v>326</v>
      </c>
      <c r="E29" s="3" t="s">
        <v>88</v>
      </c>
      <c r="F29" s="3"/>
      <c r="G29" s="3"/>
      <c r="H29" s="4"/>
      <c r="I29" s="3"/>
      <c r="J29" s="3"/>
      <c r="K29" s="3"/>
      <c r="L29" s="4"/>
      <c r="M29" s="3"/>
      <c r="N29" s="3"/>
    </row>
    <row r="30" spans="1:14" ht="15" customHeight="1">
      <c r="A30" s="3" t="s">
        <v>84</v>
      </c>
      <c r="B30" s="3" t="s">
        <v>163</v>
      </c>
      <c r="C30" s="3" t="s">
        <v>164</v>
      </c>
      <c r="D30" s="3" t="s">
        <v>165</v>
      </c>
      <c r="E30" s="3" t="s">
        <v>88</v>
      </c>
      <c r="F30" s="3"/>
      <c r="G30" s="3"/>
      <c r="H30" s="4"/>
      <c r="I30" s="3"/>
      <c r="J30" s="3"/>
      <c r="K30" s="3"/>
      <c r="L30" s="4"/>
      <c r="M30" s="3"/>
      <c r="N30" s="3"/>
    </row>
    <row r="31" spans="1:14" ht="52.7" customHeight="1">
      <c r="A31" s="3" t="s">
        <v>84</v>
      </c>
      <c r="B31" s="3" t="s">
        <v>166</v>
      </c>
      <c r="C31" s="3" t="s">
        <v>167</v>
      </c>
      <c r="D31" s="3" t="s">
        <v>168</v>
      </c>
      <c r="E31" s="3" t="s">
        <v>88</v>
      </c>
      <c r="F31" s="3"/>
      <c r="G31" s="3"/>
      <c r="H31" s="4"/>
      <c r="I31" s="3"/>
      <c r="J31" s="3"/>
      <c r="K31" s="3"/>
      <c r="L31" s="4"/>
      <c r="M31" s="3"/>
      <c r="N31" s="3"/>
    </row>
    <row r="32" spans="1:14" ht="52.7" customHeight="1">
      <c r="A32" s="3" t="s">
        <v>84</v>
      </c>
      <c r="B32" s="3" t="s">
        <v>169</v>
      </c>
      <c r="C32" s="3" t="s">
        <v>170</v>
      </c>
      <c r="D32" s="3" t="s">
        <v>171</v>
      </c>
      <c r="E32" s="3" t="s">
        <v>88</v>
      </c>
      <c r="F32" s="3"/>
      <c r="G32" s="3"/>
      <c r="H32" s="4"/>
      <c r="I32" s="3"/>
      <c r="J32" s="3"/>
      <c r="K32" s="3"/>
      <c r="L32" s="4"/>
      <c r="M32" s="3"/>
      <c r="N32" s="3"/>
    </row>
    <row r="33" spans="1:14" ht="39.6" customHeight="1">
      <c r="A33" s="3" t="s">
        <v>84</v>
      </c>
      <c r="B33" s="3" t="s">
        <v>172</v>
      </c>
      <c r="C33" s="3" t="s">
        <v>173</v>
      </c>
      <c r="D33" s="3" t="s">
        <v>174</v>
      </c>
      <c r="E33" s="3" t="s">
        <v>88</v>
      </c>
      <c r="F33" s="3"/>
      <c r="G33" s="3"/>
      <c r="H33" s="4"/>
      <c r="I33" s="3"/>
      <c r="J33" s="3"/>
      <c r="K33" s="3"/>
      <c r="L33" s="4"/>
      <c r="M33" s="3"/>
      <c r="N33" s="3"/>
    </row>
    <row r="34" spans="1:14" ht="52.7" customHeight="1">
      <c r="A34" s="3" t="s">
        <v>84</v>
      </c>
      <c r="B34" s="3" t="s">
        <v>175</v>
      </c>
      <c r="C34" s="3" t="s">
        <v>176</v>
      </c>
      <c r="D34" s="3" t="s">
        <v>177</v>
      </c>
      <c r="E34" s="3" t="s">
        <v>88</v>
      </c>
      <c r="F34" s="3"/>
      <c r="G34" s="3"/>
      <c r="H34" s="4"/>
      <c r="I34" s="3"/>
      <c r="J34" s="3"/>
      <c r="K34" s="3"/>
      <c r="L34" s="4"/>
      <c r="M34" s="3"/>
      <c r="N34" s="3"/>
    </row>
    <row r="35" spans="1:14" ht="52.7" customHeight="1">
      <c r="A35" s="3" t="s">
        <v>84</v>
      </c>
      <c r="B35" s="3" t="s">
        <v>178</v>
      </c>
      <c r="C35" s="3" t="s">
        <v>179</v>
      </c>
      <c r="D35" s="3" t="s">
        <v>180</v>
      </c>
      <c r="E35" s="3" t="s">
        <v>88</v>
      </c>
      <c r="F35" s="3"/>
      <c r="G35" s="3"/>
      <c r="H35" s="4"/>
      <c r="I35" s="3"/>
      <c r="J35" s="3"/>
      <c r="K35" s="3"/>
      <c r="L35" s="4"/>
      <c r="M35" s="3"/>
      <c r="N35" s="3"/>
    </row>
    <row r="36" spans="1:14" ht="39.6" customHeight="1">
      <c r="A36" s="3" t="s">
        <v>84</v>
      </c>
      <c r="B36" s="3" t="s">
        <v>181</v>
      </c>
      <c r="C36" s="3" t="s">
        <v>182</v>
      </c>
      <c r="D36" s="3" t="s">
        <v>183</v>
      </c>
      <c r="E36" s="3" t="s">
        <v>88</v>
      </c>
      <c r="F36" s="3"/>
      <c r="G36" s="3"/>
      <c r="H36" s="4"/>
      <c r="I36" s="3"/>
      <c r="J36" s="3"/>
      <c r="K36" s="3"/>
      <c r="L36" s="4"/>
      <c r="M36" s="3"/>
      <c r="N36" s="3"/>
    </row>
    <row r="37" spans="1:14" ht="52.7" customHeight="1">
      <c r="A37" s="3" t="s">
        <v>84</v>
      </c>
      <c r="B37" s="3" t="s">
        <v>184</v>
      </c>
      <c r="C37" s="3" t="s">
        <v>185</v>
      </c>
      <c r="D37" s="3" t="s">
        <v>186</v>
      </c>
      <c r="E37" s="3" t="s">
        <v>88</v>
      </c>
      <c r="F37" s="3"/>
      <c r="G37" s="3"/>
      <c r="H37" s="4"/>
      <c r="I37" s="3"/>
      <c r="J37" s="3"/>
      <c r="K37" s="3"/>
      <c r="L37" s="4"/>
      <c r="M37" s="3"/>
      <c r="N37" s="3"/>
    </row>
    <row r="38" spans="1:14" ht="15" customHeight="1">
      <c r="A38" s="3" t="s">
        <v>84</v>
      </c>
      <c r="B38" s="3" t="s">
        <v>187</v>
      </c>
      <c r="C38" s="3" t="s">
        <v>188</v>
      </c>
      <c r="D38" s="3" t="s">
        <v>189</v>
      </c>
      <c r="E38" s="3" t="s">
        <v>88</v>
      </c>
      <c r="F38" s="3"/>
      <c r="G38" s="3"/>
      <c r="H38" s="4"/>
      <c r="I38" s="3"/>
      <c r="J38" s="3"/>
      <c r="K38" s="3"/>
      <c r="L38" s="4"/>
      <c r="M38" s="3"/>
      <c r="N38" s="3"/>
    </row>
    <row r="39" spans="1:14" ht="92.45" customHeight="1">
      <c r="A39" s="3" t="s">
        <v>84</v>
      </c>
      <c r="B39" s="3" t="s">
        <v>190</v>
      </c>
      <c r="C39" s="3" t="s">
        <v>191</v>
      </c>
      <c r="D39" s="3" t="s">
        <v>192</v>
      </c>
      <c r="E39" s="3" t="s">
        <v>88</v>
      </c>
      <c r="F39" s="3"/>
      <c r="G39" s="3"/>
      <c r="H39" s="4"/>
      <c r="I39" s="3"/>
      <c r="J39" s="3"/>
      <c r="K39" s="3"/>
      <c r="L39" s="4"/>
      <c r="M39" s="3"/>
      <c r="N39" s="3"/>
    </row>
    <row r="40" spans="1:14" ht="39.6" customHeight="1">
      <c r="A40" s="3" t="s">
        <v>84</v>
      </c>
      <c r="B40" s="3" t="s">
        <v>193</v>
      </c>
      <c r="C40" s="3" t="s">
        <v>194</v>
      </c>
      <c r="D40" s="3" t="s">
        <v>195</v>
      </c>
      <c r="E40" s="3" t="s">
        <v>88</v>
      </c>
      <c r="F40" s="3"/>
      <c r="G40" s="3"/>
      <c r="H40" s="4"/>
      <c r="I40" s="3"/>
      <c r="J40" s="3"/>
      <c r="K40" s="3"/>
      <c r="L40" s="4"/>
      <c r="M40" s="3"/>
      <c r="N40" s="3"/>
    </row>
    <row r="41" spans="1:14" ht="39.6" customHeight="1">
      <c r="A41" s="3" t="s">
        <v>84</v>
      </c>
      <c r="B41" s="3" t="s">
        <v>196</v>
      </c>
      <c r="C41" s="3" t="s">
        <v>197</v>
      </c>
      <c r="D41" s="3" t="s">
        <v>198</v>
      </c>
      <c r="E41" s="3" t="s">
        <v>88</v>
      </c>
      <c r="F41" s="3"/>
      <c r="G41" s="3"/>
      <c r="H41" s="4"/>
      <c r="I41" s="3"/>
      <c r="J41" s="3"/>
      <c r="K41" s="3"/>
      <c r="L41" s="4"/>
      <c r="M41" s="3"/>
      <c r="N41" s="3"/>
    </row>
    <row r="42" spans="1:14" ht="79.150000000000006" customHeight="1">
      <c r="A42" s="3" t="s">
        <v>84</v>
      </c>
      <c r="B42" s="3" t="s">
        <v>199</v>
      </c>
      <c r="C42" s="3" t="s">
        <v>200</v>
      </c>
      <c r="D42" s="3" t="s">
        <v>201</v>
      </c>
      <c r="E42" s="3" t="s">
        <v>88</v>
      </c>
      <c r="F42" s="3"/>
      <c r="G42" s="3"/>
      <c r="H42" s="4"/>
      <c r="I42" s="3"/>
      <c r="J42" s="3"/>
      <c r="K42" s="3"/>
      <c r="L42" s="4"/>
      <c r="M42" s="3"/>
      <c r="N42" s="3"/>
    </row>
    <row r="43" spans="1:14" ht="66" customHeight="1">
      <c r="A43" s="3" t="s">
        <v>84</v>
      </c>
      <c r="B43" s="3" t="s">
        <v>202</v>
      </c>
      <c r="C43" s="3" t="s">
        <v>203</v>
      </c>
      <c r="D43" s="3" t="s">
        <v>204</v>
      </c>
      <c r="E43" s="3" t="s">
        <v>88</v>
      </c>
      <c r="F43" s="3"/>
      <c r="G43" s="3"/>
      <c r="H43" s="4"/>
      <c r="I43" s="3"/>
      <c r="J43" s="3"/>
      <c r="K43" s="3"/>
      <c r="L43" s="4"/>
      <c r="M43" s="3"/>
      <c r="N43" s="3"/>
    </row>
    <row r="44" spans="1:14" ht="66" customHeight="1">
      <c r="A44" s="3" t="s">
        <v>84</v>
      </c>
      <c r="B44" s="3" t="s">
        <v>205</v>
      </c>
      <c r="C44" s="3" t="s">
        <v>327</v>
      </c>
      <c r="D44" s="3" t="s">
        <v>328</v>
      </c>
      <c r="E44" s="3" t="s">
        <v>329</v>
      </c>
      <c r="F44" s="3"/>
      <c r="G44" s="3"/>
      <c r="H44" s="4"/>
      <c r="I44" s="3"/>
      <c r="J44" s="3"/>
      <c r="K44" s="3"/>
      <c r="L44" s="4"/>
      <c r="M44" s="3"/>
      <c r="N44" s="3"/>
    </row>
    <row r="45" spans="1:14" ht="66" customHeight="1">
      <c r="A45" s="3" t="s">
        <v>84</v>
      </c>
      <c r="B45" s="3" t="s">
        <v>206</v>
      </c>
      <c r="C45" s="3" t="s">
        <v>207</v>
      </c>
      <c r="D45" s="3" t="s">
        <v>208</v>
      </c>
      <c r="E45" s="3" t="s">
        <v>88</v>
      </c>
      <c r="F45" s="3"/>
      <c r="G45" s="3"/>
      <c r="H45" s="4"/>
      <c r="I45" s="3"/>
      <c r="J45" s="3"/>
      <c r="K45" s="3"/>
      <c r="L45" s="4"/>
      <c r="M45" s="3"/>
      <c r="N45" s="3"/>
    </row>
  </sheetData>
  <mergeCells count="2">
    <mergeCell ref="A1:N1"/>
    <mergeCell ref="A2:N2"/>
  </mergeCells>
  <dataValidations count="1">
    <dataValidation type="list" sqref="I4:I45 M4:M45" xr:uid="{00000000-0002-0000-0200-000000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workbookViewId="0"/>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209</v>
      </c>
      <c r="B1" s="9"/>
      <c r="C1" s="9"/>
      <c r="D1" s="9"/>
      <c r="E1" s="9"/>
      <c r="F1" s="9"/>
      <c r="G1" s="9"/>
      <c r="H1" s="9"/>
      <c r="I1" s="9"/>
      <c r="J1" s="9"/>
      <c r="K1" s="9"/>
      <c r="L1" s="9"/>
      <c r="M1" s="9"/>
      <c r="N1" s="9"/>
    </row>
    <row r="2" spans="1:14" ht="39.950000000000003" customHeight="1">
      <c r="A2" s="10" t="s">
        <v>210</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211</v>
      </c>
      <c r="B4" s="3" t="s">
        <v>212</v>
      </c>
      <c r="C4" s="3" t="s">
        <v>213</v>
      </c>
      <c r="D4" s="3" t="s">
        <v>214</v>
      </c>
      <c r="E4" s="3" t="s">
        <v>215</v>
      </c>
      <c r="F4" s="3"/>
      <c r="G4" s="3"/>
      <c r="H4" s="4"/>
      <c r="I4" s="3"/>
      <c r="J4" s="3"/>
      <c r="K4" s="3"/>
      <c r="L4" s="4"/>
      <c r="M4" s="3"/>
      <c r="N4" s="3"/>
    </row>
    <row r="5" spans="1:14" ht="15" customHeight="1">
      <c r="A5" s="3" t="s">
        <v>211</v>
      </c>
      <c r="B5" s="3" t="s">
        <v>216</v>
      </c>
      <c r="C5" s="3" t="s">
        <v>217</v>
      </c>
      <c r="D5" s="3" t="s">
        <v>218</v>
      </c>
      <c r="E5" s="3" t="s">
        <v>219</v>
      </c>
      <c r="F5" s="3"/>
      <c r="G5" s="3"/>
      <c r="H5" s="4"/>
      <c r="I5" s="3"/>
      <c r="J5" s="3"/>
      <c r="K5" s="3"/>
      <c r="L5" s="4"/>
      <c r="M5" s="3"/>
      <c r="N5" s="3"/>
    </row>
    <row r="6" spans="1:14" ht="39.6" customHeight="1">
      <c r="A6" s="3" t="s">
        <v>211</v>
      </c>
      <c r="B6" s="3" t="s">
        <v>220</v>
      </c>
      <c r="C6" s="3" t="s">
        <v>221</v>
      </c>
      <c r="D6" s="3" t="s">
        <v>222</v>
      </c>
      <c r="E6" s="3" t="s">
        <v>215</v>
      </c>
      <c r="F6" s="3"/>
      <c r="G6" s="3"/>
      <c r="H6" s="4"/>
      <c r="I6" s="3"/>
      <c r="J6" s="3"/>
      <c r="K6" s="3"/>
      <c r="L6" s="4"/>
      <c r="M6" s="3"/>
      <c r="N6" s="3"/>
    </row>
  </sheetData>
  <mergeCells count="2">
    <mergeCell ref="A1:N1"/>
    <mergeCell ref="A2:N2"/>
  </mergeCells>
  <dataValidations count="1">
    <dataValidation type="list" sqref="I4:I6 M4:M6" xr:uid="{00000000-0002-0000-0300-000000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
  <sheetViews>
    <sheetView showGridLines="0" workbookViewId="0"/>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223</v>
      </c>
      <c r="B1" s="9"/>
      <c r="C1" s="9"/>
      <c r="D1" s="9"/>
      <c r="E1" s="9"/>
      <c r="F1" s="9"/>
      <c r="G1" s="9"/>
      <c r="H1" s="9"/>
      <c r="I1" s="9"/>
      <c r="J1" s="9"/>
      <c r="K1" s="9"/>
      <c r="L1" s="9"/>
      <c r="M1" s="9"/>
      <c r="N1" s="9"/>
    </row>
    <row r="2" spans="1:14" ht="39.950000000000003" customHeight="1">
      <c r="A2" s="10" t="s">
        <v>224</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84</v>
      </c>
      <c r="B4" s="3" t="s">
        <v>225</v>
      </c>
      <c r="C4" s="3" t="s">
        <v>226</v>
      </c>
      <c r="D4" s="3" t="s">
        <v>227</v>
      </c>
      <c r="E4" s="3" t="s">
        <v>228</v>
      </c>
      <c r="F4" s="3"/>
      <c r="G4" s="3"/>
      <c r="H4" s="4"/>
      <c r="I4" s="3"/>
      <c r="J4" s="3"/>
      <c r="K4" s="3"/>
      <c r="L4" s="4"/>
      <c r="M4" s="3"/>
      <c r="N4" s="3"/>
    </row>
    <row r="5" spans="1:14" ht="26.45" customHeight="1">
      <c r="A5" s="3" t="s">
        <v>84</v>
      </c>
      <c r="B5" s="3" t="s">
        <v>229</v>
      </c>
      <c r="C5" s="3" t="s">
        <v>230</v>
      </c>
      <c r="D5" s="3" t="s">
        <v>231</v>
      </c>
      <c r="E5" s="3" t="s">
        <v>232</v>
      </c>
      <c r="F5" s="3"/>
      <c r="G5" s="3"/>
      <c r="H5" s="4"/>
      <c r="I5" s="3"/>
      <c r="J5" s="3"/>
      <c r="K5" s="3"/>
      <c r="L5" s="4"/>
      <c r="M5" s="3"/>
      <c r="N5" s="3"/>
    </row>
    <row r="6" spans="1:14" ht="26.45" customHeight="1">
      <c r="A6" s="3" t="s">
        <v>84</v>
      </c>
      <c r="B6" s="3" t="s">
        <v>233</v>
      </c>
      <c r="C6" s="3" t="s">
        <v>234</v>
      </c>
      <c r="D6" s="3" t="s">
        <v>235</v>
      </c>
      <c r="E6" s="3" t="s">
        <v>236</v>
      </c>
      <c r="F6" s="3"/>
      <c r="G6" s="3"/>
      <c r="H6" s="4"/>
      <c r="I6" s="3"/>
      <c r="J6" s="3"/>
      <c r="K6" s="3"/>
      <c r="L6" s="4"/>
      <c r="M6" s="3"/>
      <c r="N6" s="3"/>
    </row>
    <row r="7" spans="1:14" ht="26.45" customHeight="1">
      <c r="A7" s="3" t="s">
        <v>84</v>
      </c>
      <c r="B7" s="3" t="s">
        <v>237</v>
      </c>
      <c r="C7" s="3" t="s">
        <v>238</v>
      </c>
      <c r="D7" s="3" t="s">
        <v>239</v>
      </c>
      <c r="E7" s="3" t="s">
        <v>240</v>
      </c>
      <c r="F7" s="3"/>
      <c r="G7" s="3"/>
      <c r="H7" s="4"/>
      <c r="I7" s="3"/>
      <c r="J7" s="3"/>
      <c r="K7" s="3"/>
      <c r="L7" s="4"/>
      <c r="M7" s="3"/>
      <c r="N7" s="3"/>
    </row>
    <row r="8" spans="1:14" ht="52.7" customHeight="1">
      <c r="A8" s="3" t="s">
        <v>84</v>
      </c>
      <c r="B8" s="3" t="s">
        <v>241</v>
      </c>
      <c r="C8" s="3" t="s">
        <v>242</v>
      </c>
      <c r="D8" s="3" t="s">
        <v>243</v>
      </c>
      <c r="E8" s="3" t="s">
        <v>244</v>
      </c>
      <c r="F8" s="3"/>
      <c r="G8" s="3"/>
      <c r="H8" s="4"/>
      <c r="I8" s="3"/>
      <c r="J8" s="3"/>
      <c r="K8" s="3"/>
      <c r="L8" s="4"/>
      <c r="M8" s="3"/>
      <c r="N8" s="3"/>
    </row>
    <row r="9" spans="1:14" ht="26.45" customHeight="1">
      <c r="A9" s="3" t="s">
        <v>84</v>
      </c>
      <c r="B9" s="3" t="s">
        <v>245</v>
      </c>
      <c r="C9" s="3" t="s">
        <v>246</v>
      </c>
      <c r="D9" s="3" t="s">
        <v>247</v>
      </c>
      <c r="E9" s="3" t="s">
        <v>248</v>
      </c>
      <c r="F9" s="3"/>
      <c r="G9" s="3"/>
      <c r="H9" s="4"/>
      <c r="I9" s="3"/>
      <c r="J9" s="3"/>
      <c r="K9" s="3"/>
      <c r="L9" s="4"/>
      <c r="M9" s="3"/>
      <c r="N9" s="3"/>
    </row>
    <row r="10" spans="1:14" ht="26.45" customHeight="1">
      <c r="A10" s="3" t="s">
        <v>84</v>
      </c>
      <c r="B10" s="3" t="s">
        <v>249</v>
      </c>
      <c r="C10" s="3" t="s">
        <v>250</v>
      </c>
      <c r="D10" s="3" t="s">
        <v>251</v>
      </c>
      <c r="E10" s="3" t="s">
        <v>252</v>
      </c>
      <c r="F10" s="3"/>
      <c r="G10" s="3"/>
      <c r="H10" s="4"/>
      <c r="I10" s="3"/>
      <c r="J10" s="3"/>
      <c r="K10" s="3"/>
      <c r="L10" s="4"/>
      <c r="M10" s="3"/>
      <c r="N10" s="3"/>
    </row>
    <row r="11" spans="1:14" ht="39.6" customHeight="1">
      <c r="A11" s="3" t="s">
        <v>84</v>
      </c>
      <c r="B11" s="3" t="s">
        <v>253</v>
      </c>
      <c r="C11" s="3" t="s">
        <v>254</v>
      </c>
      <c r="D11" s="3" t="s">
        <v>157</v>
      </c>
      <c r="E11" s="3" t="s">
        <v>255</v>
      </c>
      <c r="F11" s="3"/>
      <c r="G11" s="3"/>
      <c r="H11" s="4"/>
      <c r="I11" s="3"/>
      <c r="J11" s="3"/>
      <c r="K11" s="3"/>
      <c r="L11" s="4"/>
      <c r="M11" s="3"/>
      <c r="N11" s="3"/>
    </row>
    <row r="12" spans="1:14" ht="26.45" customHeight="1">
      <c r="A12" s="3" t="s">
        <v>84</v>
      </c>
      <c r="B12" s="3" t="s">
        <v>256</v>
      </c>
      <c r="C12" s="3" t="s">
        <v>257</v>
      </c>
      <c r="D12" s="3" t="s">
        <v>258</v>
      </c>
      <c r="E12" s="3" t="s">
        <v>259</v>
      </c>
      <c r="F12" s="3"/>
      <c r="G12" s="3"/>
      <c r="H12" s="4"/>
      <c r="I12" s="3"/>
      <c r="J12" s="3"/>
      <c r="K12" s="3"/>
      <c r="L12" s="4"/>
      <c r="M12" s="3"/>
      <c r="N12" s="3"/>
    </row>
  </sheetData>
  <mergeCells count="2">
    <mergeCell ref="A1:N1"/>
    <mergeCell ref="A2:N2"/>
  </mergeCells>
  <dataValidations count="1">
    <dataValidation type="list" sqref="I4:I12 M4:M12"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showGridLines="0" workbookViewId="0"/>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260</v>
      </c>
      <c r="B1" s="9"/>
      <c r="C1" s="9"/>
      <c r="D1" s="9"/>
      <c r="E1" s="9"/>
      <c r="F1" s="9"/>
      <c r="G1" s="9"/>
      <c r="H1" s="9"/>
      <c r="I1" s="9"/>
      <c r="J1" s="9"/>
      <c r="K1" s="9"/>
      <c r="L1" s="9"/>
      <c r="M1" s="9"/>
      <c r="N1" s="9"/>
    </row>
    <row r="2" spans="1:14" ht="39.950000000000003" customHeight="1">
      <c r="A2" s="10" t="s">
        <v>261</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84</v>
      </c>
      <c r="B4" s="3" t="s">
        <v>262</v>
      </c>
      <c r="C4" s="3" t="s">
        <v>263</v>
      </c>
      <c r="D4" s="3" t="s">
        <v>264</v>
      </c>
      <c r="E4" s="3" t="s">
        <v>265</v>
      </c>
      <c r="F4" s="3"/>
      <c r="G4" s="3"/>
      <c r="H4" s="4"/>
      <c r="I4" s="3"/>
      <c r="J4" s="3"/>
      <c r="K4" s="3"/>
      <c r="L4" s="4"/>
      <c r="M4" s="3"/>
      <c r="N4" s="3"/>
    </row>
    <row r="5" spans="1:14" ht="26.45" customHeight="1">
      <c r="A5" s="3" t="s">
        <v>84</v>
      </c>
      <c r="B5" s="3" t="s">
        <v>266</v>
      </c>
      <c r="C5" s="3" t="s">
        <v>267</v>
      </c>
      <c r="D5" s="3" t="s">
        <v>268</v>
      </c>
      <c r="E5" s="3" t="s">
        <v>269</v>
      </c>
      <c r="F5" s="3"/>
      <c r="G5" s="3"/>
      <c r="H5" s="4"/>
      <c r="I5" s="3"/>
      <c r="J5" s="3"/>
      <c r="K5" s="3"/>
      <c r="L5" s="4"/>
      <c r="M5" s="3"/>
      <c r="N5" s="3"/>
    </row>
    <row r="6" spans="1:14" ht="39.6" customHeight="1">
      <c r="A6" s="3" t="s">
        <v>84</v>
      </c>
      <c r="B6" s="3" t="s">
        <v>270</v>
      </c>
      <c r="C6" s="3" t="s">
        <v>271</v>
      </c>
      <c r="D6" s="3" t="s">
        <v>272</v>
      </c>
      <c r="E6" s="3" t="s">
        <v>273</v>
      </c>
      <c r="F6" s="3"/>
      <c r="G6" s="3"/>
      <c r="H6" s="4"/>
      <c r="I6" s="3"/>
      <c r="J6" s="3"/>
      <c r="K6" s="3"/>
      <c r="L6" s="4"/>
      <c r="M6" s="3"/>
      <c r="N6" s="3"/>
    </row>
    <row r="7" spans="1:14" ht="39.6" customHeight="1">
      <c r="A7" s="3" t="s">
        <v>84</v>
      </c>
      <c r="B7" s="3" t="s">
        <v>274</v>
      </c>
      <c r="C7" s="3" t="s">
        <v>275</v>
      </c>
      <c r="D7" s="3" t="s">
        <v>276</v>
      </c>
      <c r="E7" s="3" t="s">
        <v>277</v>
      </c>
      <c r="F7" s="3"/>
      <c r="G7" s="3"/>
      <c r="H7" s="4"/>
      <c r="I7" s="3"/>
      <c r="J7" s="3"/>
      <c r="K7" s="3"/>
      <c r="L7" s="4"/>
      <c r="M7" s="3"/>
      <c r="N7" s="3"/>
    </row>
    <row r="8" spans="1:14" ht="39.6" customHeight="1">
      <c r="A8" s="3" t="s">
        <v>84</v>
      </c>
      <c r="B8" s="3" t="s">
        <v>278</v>
      </c>
      <c r="C8" s="3" t="s">
        <v>279</v>
      </c>
      <c r="D8" s="3" t="s">
        <v>280</v>
      </c>
      <c r="E8" s="3" t="s">
        <v>281</v>
      </c>
      <c r="F8" s="3"/>
      <c r="G8" s="3"/>
      <c r="H8" s="4"/>
      <c r="I8" s="3"/>
      <c r="J8" s="3"/>
      <c r="K8" s="3"/>
      <c r="L8" s="4"/>
      <c r="M8" s="3"/>
      <c r="N8" s="3"/>
    </row>
    <row r="9" spans="1:14" ht="66" customHeight="1">
      <c r="A9" s="3" t="s">
        <v>84</v>
      </c>
      <c r="B9" s="3" t="s">
        <v>282</v>
      </c>
      <c r="C9" s="3" t="s">
        <v>283</v>
      </c>
      <c r="D9" s="3" t="s">
        <v>284</v>
      </c>
      <c r="E9" s="3" t="s">
        <v>285</v>
      </c>
      <c r="F9" s="3"/>
      <c r="G9" s="3"/>
      <c r="H9" s="4"/>
      <c r="I9" s="3"/>
      <c r="J9" s="3"/>
      <c r="K9" s="3"/>
      <c r="L9" s="4"/>
      <c r="M9" s="3"/>
      <c r="N9" s="3"/>
    </row>
    <row r="10" spans="1:14" ht="39.6" customHeight="1">
      <c r="A10" s="3" t="s">
        <v>84</v>
      </c>
      <c r="B10" s="3" t="s">
        <v>286</v>
      </c>
      <c r="C10" s="3" t="s">
        <v>287</v>
      </c>
      <c r="D10" s="3" t="s">
        <v>288</v>
      </c>
      <c r="E10" s="3" t="s">
        <v>289</v>
      </c>
      <c r="F10" s="3"/>
      <c r="G10" s="3"/>
      <c r="H10" s="4"/>
      <c r="I10" s="3"/>
      <c r="J10" s="3"/>
      <c r="K10" s="3"/>
      <c r="L10" s="4"/>
      <c r="M10" s="3"/>
      <c r="N10" s="3"/>
    </row>
    <row r="11" spans="1:14" ht="39.6" customHeight="1">
      <c r="A11" s="3" t="s">
        <v>84</v>
      </c>
      <c r="B11" s="3" t="s">
        <v>290</v>
      </c>
      <c r="C11" s="3" t="s">
        <v>291</v>
      </c>
      <c r="D11" s="3" t="s">
        <v>292</v>
      </c>
      <c r="E11" s="3" t="s">
        <v>293</v>
      </c>
      <c r="F11" s="3"/>
      <c r="G11" s="3"/>
      <c r="H11" s="4"/>
      <c r="I11" s="3"/>
      <c r="J11" s="3"/>
      <c r="K11" s="3"/>
      <c r="L11" s="4"/>
      <c r="M11" s="3"/>
      <c r="N11" s="3"/>
    </row>
  </sheetData>
  <mergeCells count="2">
    <mergeCell ref="A1:N1"/>
    <mergeCell ref="A2:N2"/>
  </mergeCells>
  <dataValidations count="1">
    <dataValidation type="list" sqref="I4:I11 M4:M11" xr:uid="{00000000-0002-0000-0500-000000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
  <sheetViews>
    <sheetView showGridLines="0" workbookViewId="0"/>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294</v>
      </c>
      <c r="B1" s="9"/>
      <c r="C1" s="9"/>
      <c r="D1" s="9"/>
      <c r="E1" s="9"/>
      <c r="F1" s="9"/>
      <c r="G1" s="9"/>
      <c r="H1" s="9"/>
      <c r="I1" s="9"/>
      <c r="J1" s="9"/>
      <c r="K1" s="9"/>
      <c r="L1" s="9"/>
      <c r="M1" s="9"/>
      <c r="N1" s="9"/>
    </row>
    <row r="2" spans="1:14" ht="39.950000000000003" customHeight="1">
      <c r="A2" s="10" t="s">
        <v>295</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39.6" customHeight="1">
      <c r="A4" s="3" t="s">
        <v>84</v>
      </c>
      <c r="B4" s="3" t="s">
        <v>296</v>
      </c>
      <c r="C4" s="3" t="s">
        <v>297</v>
      </c>
      <c r="D4" s="3" t="s">
        <v>298</v>
      </c>
      <c r="E4" s="3" t="s">
        <v>299</v>
      </c>
      <c r="F4" s="3"/>
      <c r="G4" s="3"/>
      <c r="H4" s="4"/>
      <c r="I4" s="3"/>
      <c r="J4" s="3"/>
      <c r="K4" s="3"/>
      <c r="L4" s="4"/>
      <c r="M4" s="3"/>
      <c r="N4" s="3"/>
    </row>
    <row r="5" spans="1:14" ht="39.6" customHeight="1">
      <c r="A5" s="3" t="s">
        <v>84</v>
      </c>
      <c r="B5" s="3" t="s">
        <v>300</v>
      </c>
      <c r="C5" s="3" t="s">
        <v>301</v>
      </c>
      <c r="D5" s="3" t="s">
        <v>302</v>
      </c>
      <c r="E5" s="3" t="s">
        <v>303</v>
      </c>
      <c r="F5" s="3"/>
      <c r="G5" s="3"/>
      <c r="H5" s="4"/>
      <c r="I5" s="3"/>
      <c r="J5" s="3"/>
      <c r="K5" s="3"/>
      <c r="L5" s="4"/>
      <c r="M5" s="3"/>
      <c r="N5" s="3"/>
    </row>
    <row r="6" spans="1:14" ht="39.6" customHeight="1">
      <c r="A6" s="3" t="s">
        <v>84</v>
      </c>
      <c r="B6" s="3" t="s">
        <v>304</v>
      </c>
      <c r="C6" s="3" t="s">
        <v>305</v>
      </c>
      <c r="D6" s="3" t="s">
        <v>306</v>
      </c>
      <c r="E6" s="3" t="s">
        <v>307</v>
      </c>
      <c r="F6" s="3"/>
      <c r="G6" s="3"/>
      <c r="H6" s="4"/>
      <c r="I6" s="3"/>
      <c r="J6" s="3"/>
      <c r="K6" s="3"/>
      <c r="L6" s="4"/>
      <c r="M6" s="3"/>
      <c r="N6" s="3"/>
    </row>
    <row r="7" spans="1:14" ht="52.7" customHeight="1">
      <c r="A7" s="3" t="s">
        <v>84</v>
      </c>
      <c r="B7" s="3" t="s">
        <v>308</v>
      </c>
      <c r="C7" s="3" t="s">
        <v>309</v>
      </c>
      <c r="D7" s="3" t="s">
        <v>310</v>
      </c>
      <c r="E7" s="3" t="s">
        <v>311</v>
      </c>
      <c r="F7" s="3"/>
      <c r="G7" s="3"/>
      <c r="H7" s="4"/>
      <c r="I7" s="3"/>
      <c r="J7" s="3"/>
      <c r="K7" s="3"/>
      <c r="L7" s="4"/>
      <c r="M7" s="3"/>
      <c r="N7" s="3"/>
    </row>
  </sheetData>
  <mergeCells count="2">
    <mergeCell ref="A1:N1"/>
    <mergeCell ref="A2:N2"/>
  </mergeCells>
  <dataValidations count="1">
    <dataValidation type="list" sqref="I4:I7 M4:M7" xr:uid="{00000000-0002-0000-06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showGridLines="0" workbookViewId="0"/>
  </sheetViews>
  <sheetFormatPr defaultRowHeight="14.25"/>
  <cols>
    <col min="1" max="1" width="30" customWidth="1"/>
    <col min="2" max="2" width="18" customWidth="1"/>
    <col min="3" max="3" width="56" customWidth="1"/>
    <col min="4" max="4" width="18" customWidth="1"/>
    <col min="5" max="5" width="56" customWidth="1"/>
    <col min="6" max="6" width="25" customWidth="1"/>
    <col min="7" max="7" width="12" customWidth="1"/>
    <col min="8" max="8" width="48" customWidth="1"/>
  </cols>
  <sheetData>
    <row r="1" spans="1:14" ht="27.95" customHeight="1">
      <c r="A1" s="9" t="s">
        <v>312</v>
      </c>
      <c r="B1" s="9"/>
      <c r="C1" s="9"/>
      <c r="D1" s="9"/>
      <c r="E1" s="9"/>
      <c r="F1" s="9"/>
      <c r="G1" s="9"/>
      <c r="H1" s="9"/>
      <c r="I1" s="9"/>
      <c r="J1" s="9"/>
      <c r="K1" s="9"/>
      <c r="L1" s="9"/>
      <c r="M1" s="9"/>
      <c r="N1" s="9"/>
    </row>
    <row r="2" spans="1:14" ht="39.950000000000003" customHeight="1">
      <c r="A2" s="10" t="s">
        <v>313</v>
      </c>
      <c r="B2" s="10"/>
      <c r="C2" s="10"/>
      <c r="D2" s="10"/>
      <c r="E2" s="10"/>
      <c r="F2" s="10"/>
      <c r="G2" s="10"/>
      <c r="H2" s="10"/>
      <c r="I2" s="10"/>
      <c r="J2" s="10"/>
      <c r="K2" s="10"/>
      <c r="L2" s="10"/>
      <c r="M2" s="10"/>
      <c r="N2" s="10"/>
    </row>
    <row r="3" spans="1:14" ht="15">
      <c r="A3" s="1" t="s">
        <v>54</v>
      </c>
      <c r="B3" s="1" t="s">
        <v>314</v>
      </c>
      <c r="C3" s="1" t="s">
        <v>76</v>
      </c>
      <c r="D3" s="1" t="s">
        <v>315</v>
      </c>
      <c r="E3" s="1" t="s">
        <v>80</v>
      </c>
      <c r="F3" s="1" t="s">
        <v>316</v>
      </c>
      <c r="G3" s="1" t="s">
        <v>70</v>
      </c>
      <c r="H3" s="1" t="s">
        <v>43</v>
      </c>
    </row>
    <row r="4" spans="1:14" ht="75.95" customHeight="1">
      <c r="A4" s="3" t="s">
        <v>317</v>
      </c>
      <c r="B4" s="3"/>
      <c r="C4" s="3"/>
      <c r="D4" s="3"/>
      <c r="E4" s="3"/>
      <c r="F4" s="3" t="s">
        <v>318</v>
      </c>
      <c r="G4" s="4" t="s">
        <v>211</v>
      </c>
      <c r="H4" s="3" t="s">
        <v>319</v>
      </c>
    </row>
    <row r="5" spans="1:14" ht="75.95" customHeight="1">
      <c r="A5" s="3" t="s">
        <v>60</v>
      </c>
      <c r="B5" s="3"/>
      <c r="C5" s="3"/>
      <c r="D5" s="3"/>
      <c r="E5" s="3"/>
      <c r="F5" s="3" t="s">
        <v>61</v>
      </c>
      <c r="G5" s="4" t="s">
        <v>211</v>
      </c>
      <c r="H5" s="3" t="s">
        <v>320</v>
      </c>
    </row>
    <row r="6" spans="1:14" ht="75.95" customHeight="1">
      <c r="A6" s="3" t="s">
        <v>321</v>
      </c>
      <c r="B6" s="3"/>
      <c r="C6" s="3"/>
      <c r="D6" s="3"/>
      <c r="E6" s="3"/>
      <c r="F6" s="3" t="s">
        <v>322</v>
      </c>
      <c r="G6" s="4" t="s">
        <v>211</v>
      </c>
      <c r="H6" s="3" t="s">
        <v>323</v>
      </c>
    </row>
    <row r="7" spans="1:14" ht="75.95" customHeight="1">
      <c r="A7" s="3" t="s">
        <v>63</v>
      </c>
      <c r="B7" s="3"/>
      <c r="C7" s="3"/>
      <c r="D7" s="3"/>
      <c r="E7" s="3"/>
      <c r="F7" s="3" t="s">
        <v>324</v>
      </c>
      <c r="G7" s="4" t="s">
        <v>211</v>
      </c>
      <c r="H7" s="3" t="s">
        <v>325</v>
      </c>
    </row>
  </sheetData>
  <mergeCells count="2">
    <mergeCell ref="A1:N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Summary</vt:lpstr>
      <vt:lpstr>EQ1 Requirements</vt:lpstr>
      <vt:lpstr>EQ1 Diagnostics</vt:lpstr>
      <vt:lpstr>EQ2 Configuration</vt:lpstr>
      <vt:lpstr>EQ3 Package</vt:lpstr>
      <vt:lpstr>EQ4 Execution</vt:lpstr>
      <vt:lpstr>PoC Recovery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Umair Ali</dc:creator>
  <cp:lastModifiedBy>Khan Umair Ali</cp:lastModifiedBy>
  <dcterms:created xsi:type="dcterms:W3CDTF">2026-07-30T22:57:03Z</dcterms:created>
  <dcterms:modified xsi:type="dcterms:W3CDTF">2026-07-30T23:01:04Z</dcterms:modified>
</cp:coreProperties>
</file>